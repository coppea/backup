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706"/>
  </bookViews>
  <sheets>
    <sheet name="投保清单（请在此清单中填写）" sheetId="1" r:id="rId1"/>
    <sheet name="汇总表格（无需手动填写）" sheetId="2" r:id="rId2"/>
    <sheet name="附表-常见保险公司客服热线" sheetId="3" r:id="rId3"/>
  </sheets>
  <calcPr calcId="144525" concurrentCalc="0"/>
</workbook>
</file>

<file path=xl/comments1.xml><?xml version="1.0" encoding="utf-8"?>
<comments xmlns="http://schemas.openxmlformats.org/spreadsheetml/2006/main">
  <authors>
    <author>Microsoft Office 用户</author>
  </authors>
  <commentList>
    <comment ref="G7" authorId="0">
      <text>
        <r>
          <rPr>
            <b/>
            <sz val="11"/>
            <rFont val="MS PGothic"/>
            <charset val="128"/>
          </rPr>
          <t>钱多多提醒：</t>
        </r>
        <r>
          <rPr>
            <sz val="11"/>
            <rFont val="MS PGothic"/>
            <charset val="128"/>
          </rPr>
          <t xml:space="preserve">
此处只能填数字哦，如50</t>
        </r>
      </text>
    </comment>
    <comment ref="H7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8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8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9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9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0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10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1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11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2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12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3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13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7" authorId="0">
      <text>
        <r>
          <rPr>
            <b/>
            <sz val="11"/>
            <rFont val="MS PGothic"/>
            <charset val="128"/>
          </rPr>
          <t>钱多多提醒：</t>
        </r>
        <r>
          <rPr>
            <sz val="11"/>
            <rFont val="MS PGothic"/>
            <charset val="128"/>
          </rPr>
          <t xml:space="preserve">
此处只能填数字哦，如50</t>
        </r>
      </text>
    </comment>
    <comment ref="H17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8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18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9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19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20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20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21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21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22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22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23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23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27" authorId="0">
      <text>
        <r>
          <rPr>
            <b/>
            <sz val="11"/>
            <rFont val="MS PGothic"/>
            <charset val="128"/>
          </rPr>
          <t>钱多多提醒：</t>
        </r>
        <r>
          <rPr>
            <sz val="11"/>
            <rFont val="MS PGothic"/>
            <charset val="128"/>
          </rPr>
          <t xml:space="preserve">
此处只能填数字哦，如50</t>
        </r>
      </text>
    </comment>
    <comment ref="H27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28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28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29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29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30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30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31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31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32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32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33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33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37" authorId="0">
      <text>
        <r>
          <rPr>
            <b/>
            <sz val="11"/>
            <rFont val="MS PGothic"/>
            <charset val="128"/>
          </rPr>
          <t>钱多多提醒：</t>
        </r>
        <r>
          <rPr>
            <sz val="11"/>
            <rFont val="MS PGothic"/>
            <charset val="128"/>
          </rPr>
          <t xml:space="preserve">
此处只能填数字哦，如50</t>
        </r>
      </text>
    </comment>
    <comment ref="H37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38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38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39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39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40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40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41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41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42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42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43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43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47" authorId="0">
      <text>
        <r>
          <rPr>
            <b/>
            <sz val="11"/>
            <rFont val="MS PGothic"/>
            <charset val="128"/>
          </rPr>
          <t>钱多多提醒：</t>
        </r>
        <r>
          <rPr>
            <sz val="11"/>
            <rFont val="MS PGothic"/>
            <charset val="128"/>
          </rPr>
          <t xml:space="preserve">
此处只能填数字哦，如50</t>
        </r>
      </text>
    </comment>
    <comment ref="H47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48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48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49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49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50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50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51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51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52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52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53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53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57" authorId="0">
      <text>
        <r>
          <rPr>
            <b/>
            <sz val="11"/>
            <rFont val="MS PGothic"/>
            <charset val="128"/>
          </rPr>
          <t>钱多多提醒：</t>
        </r>
        <r>
          <rPr>
            <sz val="11"/>
            <rFont val="MS PGothic"/>
            <charset val="128"/>
          </rPr>
          <t xml:space="preserve">
此处只能填数字哦，如50</t>
        </r>
      </text>
    </comment>
    <comment ref="H57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58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58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59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59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60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60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61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61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62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62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63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63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67" authorId="0">
      <text>
        <r>
          <rPr>
            <b/>
            <sz val="11"/>
            <rFont val="MS PGothic"/>
            <charset val="128"/>
          </rPr>
          <t>钱多多提醒：</t>
        </r>
        <r>
          <rPr>
            <sz val="11"/>
            <rFont val="MS PGothic"/>
            <charset val="128"/>
          </rPr>
          <t xml:space="preserve">
此处只能填数字哦，如50</t>
        </r>
      </text>
    </comment>
    <comment ref="H67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68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68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69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69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70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70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71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71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72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72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73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73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77" authorId="0">
      <text>
        <r>
          <rPr>
            <b/>
            <sz val="11"/>
            <rFont val="MS PGothic"/>
            <charset val="128"/>
          </rPr>
          <t>钱多多提醒：</t>
        </r>
        <r>
          <rPr>
            <sz val="11"/>
            <rFont val="MS PGothic"/>
            <charset val="128"/>
          </rPr>
          <t xml:space="preserve">
此处只能填数字哦，如50</t>
        </r>
      </text>
    </comment>
    <comment ref="H77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78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78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79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79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80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80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81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81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82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82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83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83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87" authorId="0">
      <text>
        <r>
          <rPr>
            <b/>
            <sz val="11"/>
            <rFont val="MS PGothic"/>
            <charset val="128"/>
          </rPr>
          <t>钱多多提醒：</t>
        </r>
        <r>
          <rPr>
            <sz val="11"/>
            <rFont val="MS PGothic"/>
            <charset val="128"/>
          </rPr>
          <t xml:space="preserve">
此处只能填数字哦，如50</t>
        </r>
      </text>
    </comment>
    <comment ref="H87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88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88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89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89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90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90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91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91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92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92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93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93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97" authorId="0">
      <text>
        <r>
          <rPr>
            <b/>
            <sz val="11"/>
            <rFont val="MS PGothic"/>
            <charset val="128"/>
          </rPr>
          <t>钱多多提醒：</t>
        </r>
        <r>
          <rPr>
            <sz val="11"/>
            <rFont val="MS PGothic"/>
            <charset val="128"/>
          </rPr>
          <t xml:space="preserve">
此处只能填数字哦，如50</t>
        </r>
      </text>
    </comment>
    <comment ref="H97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98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98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99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99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00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100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01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101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02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102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  <comment ref="G103" authorId="0">
      <text>
        <r>
          <rPr>
            <b/>
            <sz val="11"/>
            <rFont val="MS PGothic"/>
            <charset val="128"/>
          </rPr>
          <t>钱多多提醒：
此处只能填数字哦，如50</t>
        </r>
      </text>
    </comment>
    <comment ref="H103" authorId="0">
      <text>
        <r>
          <rPr>
            <b/>
            <sz val="11"/>
            <rFont val="MS PGothic"/>
            <charset val="128"/>
          </rPr>
          <t>钱多多提醒：
此处只能填数字哦，如1500</t>
        </r>
      </text>
    </comment>
  </commentList>
</comments>
</file>

<file path=xl/sharedStrings.xml><?xml version="1.0" encoding="utf-8"?>
<sst xmlns="http://schemas.openxmlformats.org/spreadsheetml/2006/main" count="527" uniqueCount="154">
  <si>
    <t>点此阅读：（人身）保险入门（不完全）指南</t>
  </si>
  <si>
    <t>家庭保单管理表</t>
  </si>
  <si>
    <t>被保人</t>
  </si>
  <si>
    <t>产品类型</t>
  </si>
  <si>
    <t>保险公司</t>
  </si>
  <si>
    <t>保险名称</t>
  </si>
  <si>
    <t>保单号码</t>
  </si>
  <si>
    <r>
      <rPr>
        <b/>
        <sz val="12"/>
        <color theme="1"/>
        <rFont val="微软雅黑"/>
        <charset val="134"/>
      </rPr>
      <t xml:space="preserve">主险保额
</t>
    </r>
    <r>
      <rPr>
        <b/>
        <sz val="10"/>
        <color theme="1"/>
        <rFont val="微软雅黑"/>
        <charset val="134"/>
      </rPr>
      <t>（万）</t>
    </r>
  </si>
  <si>
    <r>
      <rPr>
        <b/>
        <sz val="12"/>
        <color theme="1"/>
        <rFont val="微软雅黑"/>
        <charset val="134"/>
      </rPr>
      <t xml:space="preserve">保费
</t>
    </r>
    <r>
      <rPr>
        <b/>
        <sz val="10"/>
        <color theme="1"/>
        <rFont val="微软雅黑"/>
        <charset val="134"/>
      </rPr>
      <t>（元）</t>
    </r>
  </si>
  <si>
    <t>缴费日期</t>
  </si>
  <si>
    <t>生效日期</t>
  </si>
  <si>
    <t>等待期</t>
  </si>
  <si>
    <t>保障期间</t>
  </si>
  <si>
    <t>缴费期</t>
  </si>
  <si>
    <t>缴费方式</t>
  </si>
  <si>
    <t>缴费银行卡</t>
  </si>
  <si>
    <t>投保人</t>
  </si>
  <si>
    <t>受益人</t>
  </si>
  <si>
    <t>理赔电话</t>
  </si>
  <si>
    <t>保险责任</t>
  </si>
  <si>
    <t>保障谁</t>
  </si>
  <si>
    <t>保什么</t>
  </si>
  <si>
    <t>哪家公司买的</t>
  </si>
  <si>
    <t>买的啥</t>
  </si>
  <si>
    <t>保单号</t>
  </si>
  <si>
    <t>保多少</t>
  </si>
  <si>
    <t>交多少钱</t>
  </si>
  <si>
    <t>啥时候交钱</t>
  </si>
  <si>
    <t>何时生效</t>
  </si>
  <si>
    <t>投保后多少天不保</t>
  </si>
  <si>
    <t>保多久</t>
  </si>
  <si>
    <t>钱交多久</t>
  </si>
  <si>
    <t>怎么交</t>
  </si>
  <si>
    <t>哪张卡</t>
  </si>
  <si>
    <t>谁交钱</t>
  </si>
  <si>
    <t>钱赔给谁</t>
  </si>
  <si>
    <t>出事了找谁</t>
  </si>
  <si>
    <t>具体保障啥</t>
  </si>
  <si>
    <t xml:space="preserve">
老公</t>
  </si>
  <si>
    <t>重疾险</t>
  </si>
  <si>
    <t>光大永明人寿</t>
  </si>
  <si>
    <t>光大嘉多保重大疾病保险</t>
  </si>
  <si>
    <t>终身</t>
  </si>
  <si>
    <t>30年</t>
  </si>
  <si>
    <t>年缴</t>
  </si>
  <si>
    <t>中行0607</t>
  </si>
  <si>
    <t>老婆</t>
  </si>
  <si>
    <t>法定</t>
  </si>
  <si>
    <t>110种重疾，分6组，最多赔6次保额，投保前10年额外赔20%（出险时年龄小于50岁）；
20种中症，不分组，额外赔50%保额，最多2次；
40种轻症，不分组，额外赔30%、35%、40%保额，最多3次；
身故赔付：身故赔基本保额</t>
  </si>
  <si>
    <t>意外险</t>
  </si>
  <si>
    <t>寿险</t>
  </si>
  <si>
    <t xml:space="preserve"> </t>
  </si>
  <si>
    <t>医疗险</t>
  </si>
  <si>
    <t>其他</t>
  </si>
  <si>
    <t xml:space="preserve">
老婆</t>
  </si>
  <si>
    <t xml:space="preserve">
女儿</t>
  </si>
  <si>
    <t xml:space="preserve">
儿子</t>
  </si>
  <si>
    <t xml:space="preserve">
父亲</t>
  </si>
  <si>
    <t>防癌险</t>
  </si>
  <si>
    <t xml:space="preserve">
母亲</t>
  </si>
  <si>
    <t>其他 1</t>
  </si>
  <si>
    <t>其他 2</t>
  </si>
  <si>
    <t>其他 3</t>
  </si>
  <si>
    <t>其他 4</t>
  </si>
  <si>
    <t>当前日期</t>
  </si>
  <si>
    <t>家庭成员保额及缴费汇总表</t>
  </si>
  <si>
    <t>成员</t>
  </si>
  <si>
    <r>
      <rPr>
        <b/>
        <sz val="14"/>
        <color theme="1"/>
        <rFont val="微软雅黑"/>
        <charset val="134"/>
      </rPr>
      <t xml:space="preserve">总保额
</t>
    </r>
    <r>
      <rPr>
        <b/>
        <sz val="10"/>
        <color theme="1"/>
        <rFont val="微软雅黑"/>
        <charset val="134"/>
      </rPr>
      <t>（万）</t>
    </r>
  </si>
  <si>
    <r>
      <rPr>
        <b/>
        <sz val="14"/>
        <color theme="1"/>
        <rFont val="微软雅黑"/>
        <charset val="134"/>
      </rPr>
      <t xml:space="preserve">每年缴费
</t>
    </r>
    <r>
      <rPr>
        <b/>
        <sz val="10"/>
        <color theme="1"/>
        <rFont val="微软雅黑"/>
        <charset val="134"/>
      </rPr>
      <t>（元）</t>
    </r>
  </si>
  <si>
    <t>老公</t>
  </si>
  <si>
    <t>女儿</t>
  </si>
  <si>
    <t>儿子</t>
  </si>
  <si>
    <t>父亲</t>
  </si>
  <si>
    <t>母亲</t>
  </si>
  <si>
    <t>其他1</t>
  </si>
  <si>
    <t>其他2</t>
  </si>
  <si>
    <t>其他3</t>
  </si>
  <si>
    <t>其他4</t>
  </si>
  <si>
    <t>合计（万）</t>
  </si>
  <si>
    <r>
      <rPr>
        <b/>
        <sz val="16"/>
        <color theme="1"/>
        <rFont val="微软雅黑"/>
        <charset val="134"/>
      </rPr>
      <t>常见保险公司客服热线</t>
    </r>
    <r>
      <rPr>
        <sz val="12"/>
        <color theme="1"/>
        <rFont val="微软雅黑"/>
        <charset val="134"/>
      </rPr>
      <t xml:space="preserve">
（按首字母顺序排列）</t>
    </r>
  </si>
  <si>
    <t>序号</t>
  </si>
  <si>
    <t>客服热线</t>
  </si>
  <si>
    <t>安邦人寿/大家人寿</t>
  </si>
  <si>
    <t>安联保险</t>
  </si>
  <si>
    <t>400-800-2020</t>
  </si>
  <si>
    <t>安盛天平保险</t>
  </si>
  <si>
    <t>安心保险</t>
  </si>
  <si>
    <t>百年人寿</t>
  </si>
  <si>
    <t>渤海人寿</t>
  </si>
  <si>
    <t>4008-667-668</t>
  </si>
  <si>
    <t>大地保险</t>
  </si>
  <si>
    <t>德华安顾人寿</t>
  </si>
  <si>
    <t>400-888-0011</t>
  </si>
  <si>
    <t>复星保德信</t>
  </si>
  <si>
    <t>400-821-6808</t>
  </si>
  <si>
    <t>复星联合健康</t>
  </si>
  <si>
    <t>4006-11-7777</t>
  </si>
  <si>
    <t>国富人寿</t>
  </si>
  <si>
    <t>0771-5723168</t>
  </si>
  <si>
    <t>国华人寿</t>
  </si>
  <si>
    <t>国任保险</t>
  </si>
  <si>
    <t>4008-667788</t>
  </si>
  <si>
    <t>国泰产险</t>
  </si>
  <si>
    <t>400-820-2288</t>
  </si>
  <si>
    <t>海保人寿</t>
  </si>
  <si>
    <t>400-898-0899</t>
  </si>
  <si>
    <t>和谐健康保险</t>
  </si>
  <si>
    <t>95569-5</t>
  </si>
  <si>
    <t>弘康人寿</t>
  </si>
  <si>
    <t>4008-500-365</t>
  </si>
  <si>
    <t>华贵人寿</t>
  </si>
  <si>
    <t>400-684-1888</t>
  </si>
  <si>
    <t>华泰保险</t>
  </si>
  <si>
    <t>400-609-5509</t>
  </si>
  <si>
    <t>昆仑健康保险</t>
  </si>
  <si>
    <t>400-811-8899</t>
  </si>
  <si>
    <t>美亚保险</t>
  </si>
  <si>
    <t>400-820-8858</t>
  </si>
  <si>
    <t>平安保险</t>
  </si>
  <si>
    <t>瑞华健康保险</t>
  </si>
  <si>
    <t>400-609-6868</t>
  </si>
  <si>
    <t>瑞泰人寿</t>
  </si>
  <si>
    <t>400-810-9339</t>
  </si>
  <si>
    <t>三峡人寿</t>
  </si>
  <si>
    <t>023 96999</t>
  </si>
  <si>
    <t>上海人寿</t>
  </si>
  <si>
    <t>史带财险</t>
  </si>
  <si>
    <t>40099 95507</t>
  </si>
  <si>
    <t>太平保险</t>
  </si>
  <si>
    <t>太平洋保险</t>
  </si>
  <si>
    <t>泰康在线</t>
  </si>
  <si>
    <t>天安财险</t>
  </si>
  <si>
    <t>信美相互</t>
  </si>
  <si>
    <t>400-139-9990</t>
  </si>
  <si>
    <t>信泰人寿</t>
  </si>
  <si>
    <t>亚太财险</t>
  </si>
  <si>
    <t>阳光人寿</t>
  </si>
  <si>
    <t>易安保险</t>
  </si>
  <si>
    <t>4000-121212</t>
  </si>
  <si>
    <t>长生人寿</t>
  </si>
  <si>
    <t>400-820-8599</t>
  </si>
  <si>
    <t>招商仁和人寿</t>
  </si>
  <si>
    <t>400-86-95666</t>
  </si>
  <si>
    <t>中国人保财险</t>
  </si>
  <si>
    <t>中国人保健康</t>
  </si>
  <si>
    <t>中国人保寿险</t>
  </si>
  <si>
    <t>40088-95518</t>
  </si>
  <si>
    <t>中国人寿</t>
  </si>
  <si>
    <t>中荷人寿</t>
  </si>
  <si>
    <t>400-816-1688</t>
  </si>
  <si>
    <t>中华保险</t>
  </si>
  <si>
    <t>中信保诚人寿</t>
  </si>
  <si>
    <t>众安保险</t>
  </si>
  <si>
    <t>1010-9955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</si>
</sst>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4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3"/>
      <color theme="1"/>
      <name val="微软雅黑"/>
      <charset val="134"/>
    </font>
    <font>
      <b/>
      <u/>
      <sz val="26"/>
      <color rgb="FF00B050"/>
      <name val="DengXian"/>
      <charset val="0"/>
      <scheme val="minor"/>
    </font>
    <font>
      <b/>
      <sz val="13"/>
      <color theme="1"/>
      <name val="楷体"/>
      <charset val="134"/>
    </font>
    <font>
      <sz val="16"/>
      <color theme="1"/>
      <name val="微软雅黑"/>
      <charset val="134"/>
    </font>
    <font>
      <b/>
      <sz val="26"/>
      <color theme="1"/>
      <name val="微软雅黑"/>
      <charset val="134"/>
    </font>
    <font>
      <sz val="11"/>
      <color theme="1"/>
      <name val="DengXian"/>
      <charset val="134"/>
      <scheme val="minor"/>
    </font>
    <font>
      <sz val="11"/>
      <color theme="1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rgb="FF3F3F76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9C000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u/>
      <sz val="11"/>
      <color rgb="FF0000FF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sz val="11"/>
      <color rgb="FF0061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sz val="11"/>
      <color rgb="FFFA7D00"/>
      <name val="DengXian"/>
      <charset val="0"/>
      <scheme val="minor"/>
    </font>
    <font>
      <sz val="11"/>
      <color rgb="FF9C65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b/>
      <sz val="16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name val="MS PGothic"/>
      <charset val="128"/>
    </font>
    <font>
      <sz val="11"/>
      <name val="MS PGothic"/>
      <charset val="128"/>
    </font>
  </fonts>
  <fills count="37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BEE9EE"/>
        <bgColor indexed="64"/>
      </patternFill>
    </fill>
    <fill>
      <patternFill patternType="solid">
        <fgColor rgb="FFBDE8E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12" borderId="22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8" borderId="24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6" fillId="16" borderId="23" applyNumberFormat="0" applyAlignment="0" applyProtection="0">
      <alignment vertical="center"/>
    </xf>
    <xf numFmtId="0" fontId="26" fillId="16" borderId="22" applyNumberFormat="0" applyAlignment="0" applyProtection="0">
      <alignment vertical="center"/>
    </xf>
    <xf numFmtId="0" fontId="25" fillId="24" borderId="26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22" fontId="1" fillId="5" borderId="0" xfId="0" applyNumberFormat="1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6" fillId="0" borderId="0" xfId="10" applyFont="1" applyBorder="1" applyAlignment="1">
      <alignment horizontal="center" vertical="center"/>
    </xf>
    <xf numFmtId="0" fontId="6" fillId="0" borderId="0" xfId="1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9" fillId="0" borderId="0" xfId="0" applyFont="1"/>
    <xf numFmtId="14" fontId="1" fillId="0" borderId="7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7"/>
  <colors>
    <mruColors>
      <color rgb="00BEE9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342900</xdr:colOff>
      <xdr:row>7</xdr:row>
      <xdr:rowOff>266700</xdr:rowOff>
    </xdr:from>
    <xdr:to>
      <xdr:col>1</xdr:col>
      <xdr:colOff>825500</xdr:colOff>
      <xdr:row>8</xdr:row>
      <xdr:rowOff>312910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00" y="3263900"/>
          <a:ext cx="482600" cy="477520"/>
        </a:xfrm>
        <a:prstGeom prst="rect">
          <a:avLst/>
        </a:prstGeom>
      </xdr:spPr>
    </xdr:pic>
    <xdr:clientData/>
  </xdr:twoCellAnchor>
  <xdr:twoCellAnchor editAs="oneCell">
    <xdr:from>
      <xdr:col>1</xdr:col>
      <xdr:colOff>365699</xdr:colOff>
      <xdr:row>18</xdr:row>
      <xdr:rowOff>293019</xdr:rowOff>
    </xdr:from>
    <xdr:to>
      <xdr:col>1</xdr:col>
      <xdr:colOff>784799</xdr:colOff>
      <xdr:row>19</xdr:row>
      <xdr:rowOff>264406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0225" y="8071485"/>
          <a:ext cx="419100" cy="415925"/>
        </a:xfrm>
        <a:prstGeom prst="rect">
          <a:avLst/>
        </a:prstGeom>
      </xdr:spPr>
    </xdr:pic>
    <xdr:clientData/>
  </xdr:twoCellAnchor>
  <xdr:twoCellAnchor editAs="oneCell">
    <xdr:from>
      <xdr:col>1</xdr:col>
      <xdr:colOff>302198</xdr:colOff>
      <xdr:row>28</xdr:row>
      <xdr:rowOff>146892</xdr:rowOff>
    </xdr:from>
    <xdr:to>
      <xdr:col>1</xdr:col>
      <xdr:colOff>810198</xdr:colOff>
      <xdr:row>29</xdr:row>
      <xdr:rowOff>218502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6725" y="12427585"/>
          <a:ext cx="508000" cy="503555"/>
        </a:xfrm>
        <a:prstGeom prst="rect">
          <a:avLst/>
        </a:prstGeom>
      </xdr:spPr>
    </xdr:pic>
    <xdr:clientData/>
  </xdr:twoCellAnchor>
  <xdr:twoCellAnchor editAs="oneCell">
    <xdr:from>
      <xdr:col>1</xdr:col>
      <xdr:colOff>289499</xdr:colOff>
      <xdr:row>38</xdr:row>
      <xdr:rowOff>147810</xdr:rowOff>
    </xdr:from>
    <xdr:to>
      <xdr:col>1</xdr:col>
      <xdr:colOff>822899</xdr:colOff>
      <xdr:row>39</xdr:row>
      <xdr:rowOff>251400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4025" y="16854170"/>
          <a:ext cx="533400" cy="53530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48</xdr:row>
      <xdr:rowOff>83392</xdr:rowOff>
    </xdr:from>
    <xdr:to>
      <xdr:col>1</xdr:col>
      <xdr:colOff>901700</xdr:colOff>
      <xdr:row>49</xdr:row>
      <xdr:rowOff>187517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rcRect b="17424"/>
        <a:stretch>
          <a:fillRect/>
        </a:stretch>
      </xdr:blipFill>
      <xdr:spPr>
        <a:xfrm>
          <a:off x="393700" y="21317585"/>
          <a:ext cx="67310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58</xdr:row>
      <xdr:rowOff>100988</xdr:rowOff>
    </xdr:from>
    <xdr:to>
      <xdr:col>1</xdr:col>
      <xdr:colOff>850900</xdr:colOff>
      <xdr:row>59</xdr:row>
      <xdr:rowOff>213298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7200" y="25939115"/>
          <a:ext cx="558800" cy="5562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863600</xdr:colOff>
      <xdr:row>2</xdr:row>
      <xdr:rowOff>148199</xdr:rowOff>
    </xdr:from>
    <xdr:to>
      <xdr:col>8</xdr:col>
      <xdr:colOff>381000</xdr:colOff>
      <xdr:row>2</xdr:row>
      <xdr:rowOff>417477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01200" y="665480"/>
          <a:ext cx="762000" cy="269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tingtalk.me/personal-insurance/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B1:T103"/>
  <sheetViews>
    <sheetView showGridLines="0" tabSelected="1" workbookViewId="0">
      <selection activeCell="D8" sqref="D8"/>
    </sheetView>
  </sheetViews>
  <sheetFormatPr defaultColWidth="11" defaultRowHeight="15.75"/>
  <cols>
    <col min="1" max="1" width="2.16666666666667" customWidth="1"/>
    <col min="2" max="2" width="14.5" customWidth="1"/>
    <col min="4" max="4" width="14.8333333333333" customWidth="1"/>
    <col min="5" max="5" width="27.1666666666667" customWidth="1"/>
    <col min="6" max="6" width="15.3333333333333" customWidth="1"/>
    <col min="7" max="8" width="11.6666666666667" customWidth="1"/>
    <col min="9" max="9" width="13.8333333333333" customWidth="1"/>
    <col min="10" max="10" width="13" customWidth="1"/>
    <col min="11" max="11" width="18.8333333333333" customWidth="1"/>
    <col min="15" max="15" width="13" customWidth="1"/>
    <col min="18" max="18" width="15.5" customWidth="1"/>
    <col min="19" max="19" width="88.8333333333333" customWidth="1"/>
    <col min="20" max="20" width="13.1666666666667" customWidth="1"/>
  </cols>
  <sheetData>
    <row r="1" ht="8" customHeight="1"/>
    <row r="2" ht="55" customHeight="1" spans="2:12">
      <c r="B2" s="26" t="s">
        <v>0</v>
      </c>
      <c r="C2" s="27"/>
      <c r="D2" s="26"/>
      <c r="E2" s="27"/>
      <c r="F2" s="27"/>
      <c r="G2" s="27"/>
      <c r="H2" s="27"/>
      <c r="L2" s="37" t="s">
        <v>1</v>
      </c>
    </row>
    <row r="3" ht="5" customHeight="1"/>
    <row r="4" ht="7" customHeight="1"/>
    <row r="5" ht="39" customHeight="1" spans="2:20">
      <c r="B5" s="28" t="s">
        <v>2</v>
      </c>
      <c r="C5" s="29" t="s">
        <v>3</v>
      </c>
      <c r="D5" s="29" t="s">
        <v>4</v>
      </c>
      <c r="E5" s="29" t="s">
        <v>5</v>
      </c>
      <c r="F5" s="29" t="s">
        <v>6</v>
      </c>
      <c r="G5" s="30" t="s">
        <v>7</v>
      </c>
      <c r="H5" s="30" t="s">
        <v>8</v>
      </c>
      <c r="I5" s="29" t="s">
        <v>9</v>
      </c>
      <c r="J5" s="29" t="s">
        <v>10</v>
      </c>
      <c r="K5" s="29" t="s">
        <v>11</v>
      </c>
      <c r="L5" s="29" t="s">
        <v>12</v>
      </c>
      <c r="M5" s="29" t="s">
        <v>13</v>
      </c>
      <c r="N5" s="29" t="s">
        <v>14</v>
      </c>
      <c r="O5" s="29" t="s">
        <v>15</v>
      </c>
      <c r="P5" s="29" t="s">
        <v>16</v>
      </c>
      <c r="Q5" s="29" t="s">
        <v>17</v>
      </c>
      <c r="R5" s="29" t="s">
        <v>18</v>
      </c>
      <c r="S5" s="39" t="s">
        <v>19</v>
      </c>
      <c r="T5" s="40"/>
    </row>
    <row r="6" ht="27" customHeight="1" spans="2:20">
      <c r="B6" s="31" t="s">
        <v>20</v>
      </c>
      <c r="C6" s="32" t="s">
        <v>21</v>
      </c>
      <c r="D6" s="32" t="s">
        <v>22</v>
      </c>
      <c r="E6" s="32" t="s">
        <v>23</v>
      </c>
      <c r="F6" s="32" t="s">
        <v>24</v>
      </c>
      <c r="G6" s="32" t="s">
        <v>25</v>
      </c>
      <c r="H6" s="32" t="s">
        <v>26</v>
      </c>
      <c r="I6" s="32" t="s">
        <v>27</v>
      </c>
      <c r="J6" s="32" t="s">
        <v>28</v>
      </c>
      <c r="K6" s="32" t="s">
        <v>29</v>
      </c>
      <c r="L6" s="32" t="s">
        <v>30</v>
      </c>
      <c r="M6" s="32" t="s">
        <v>31</v>
      </c>
      <c r="N6" s="32" t="s">
        <v>32</v>
      </c>
      <c r="O6" s="32" t="s">
        <v>33</v>
      </c>
      <c r="P6" s="32" t="s">
        <v>34</v>
      </c>
      <c r="Q6" s="32" t="s">
        <v>35</v>
      </c>
      <c r="R6" s="32" t="s">
        <v>36</v>
      </c>
      <c r="S6" s="41" t="s">
        <v>37</v>
      </c>
      <c r="T6" s="1"/>
    </row>
    <row r="7" ht="95" customHeight="1" spans="2:20">
      <c r="B7" s="33" t="s">
        <v>38</v>
      </c>
      <c r="C7" s="16" t="s">
        <v>39</v>
      </c>
      <c r="D7" s="16" t="s">
        <v>40</v>
      </c>
      <c r="E7" s="16" t="s">
        <v>41</v>
      </c>
      <c r="F7" s="16">
        <v>123456789</v>
      </c>
      <c r="G7" s="16">
        <v>50</v>
      </c>
      <c r="H7" s="16">
        <v>8585</v>
      </c>
      <c r="I7" s="38">
        <v>43628</v>
      </c>
      <c r="J7" s="38">
        <v>43629</v>
      </c>
      <c r="K7" s="16">
        <v>90</v>
      </c>
      <c r="L7" s="16" t="s">
        <v>42</v>
      </c>
      <c r="M7" s="16" t="s">
        <v>43</v>
      </c>
      <c r="N7" s="16" t="s">
        <v>44</v>
      </c>
      <c r="O7" s="16" t="s">
        <v>45</v>
      </c>
      <c r="P7" s="16" t="s">
        <v>46</v>
      </c>
      <c r="Q7" s="16" t="s">
        <v>47</v>
      </c>
      <c r="R7" s="16">
        <v>95348</v>
      </c>
      <c r="S7" s="42" t="s">
        <v>48</v>
      </c>
      <c r="T7" s="1"/>
    </row>
    <row r="8" ht="34" customHeight="1" spans="2:20">
      <c r="B8" s="34"/>
      <c r="C8" s="16" t="s">
        <v>49</v>
      </c>
      <c r="D8" s="16"/>
      <c r="E8" s="16"/>
      <c r="F8" s="16"/>
      <c r="G8" s="16"/>
      <c r="H8" s="16"/>
      <c r="I8" s="38"/>
      <c r="J8" s="38"/>
      <c r="K8" s="16"/>
      <c r="L8" s="16"/>
      <c r="M8" s="16"/>
      <c r="N8" s="16"/>
      <c r="O8" s="16"/>
      <c r="P8" s="16"/>
      <c r="Q8" s="16"/>
      <c r="R8" s="16"/>
      <c r="S8" s="43"/>
      <c r="T8" s="1"/>
    </row>
    <row r="9" ht="34" customHeight="1" spans="2:20">
      <c r="B9" s="34"/>
      <c r="C9" s="16" t="s">
        <v>50</v>
      </c>
      <c r="D9" s="16"/>
      <c r="E9" s="16"/>
      <c r="F9" s="16"/>
      <c r="G9" s="16"/>
      <c r="H9" s="16"/>
      <c r="I9" s="38"/>
      <c r="J9" s="38"/>
      <c r="K9" s="16" t="s">
        <v>51</v>
      </c>
      <c r="L9" s="16"/>
      <c r="M9" s="16"/>
      <c r="N9" s="16"/>
      <c r="O9" s="16"/>
      <c r="P9" s="16"/>
      <c r="Q9" s="16"/>
      <c r="R9" s="16"/>
      <c r="S9" s="43"/>
      <c r="T9" s="1"/>
    </row>
    <row r="10" ht="34" customHeight="1" spans="2:20">
      <c r="B10" s="34"/>
      <c r="C10" s="16" t="s">
        <v>52</v>
      </c>
      <c r="D10" s="16"/>
      <c r="E10" s="16"/>
      <c r="F10" s="16"/>
      <c r="G10" s="16"/>
      <c r="H10" s="16"/>
      <c r="I10" s="38"/>
      <c r="J10" s="38"/>
      <c r="K10" s="16"/>
      <c r="L10" s="16"/>
      <c r="M10" s="16"/>
      <c r="N10" s="16"/>
      <c r="O10" s="16"/>
      <c r="P10" s="16"/>
      <c r="Q10" s="16"/>
      <c r="R10" s="16"/>
      <c r="S10" s="42"/>
      <c r="T10" s="1"/>
    </row>
    <row r="11" ht="34" customHeight="1" spans="2:20">
      <c r="B11" s="34"/>
      <c r="C11" s="16" t="s">
        <v>53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44"/>
      <c r="T11" s="1"/>
    </row>
    <row r="12" ht="34" customHeight="1" spans="2:20">
      <c r="B12" s="3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44"/>
      <c r="T12" s="1"/>
    </row>
    <row r="13" ht="34" customHeight="1" spans="2:20"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45"/>
      <c r="T13" s="1"/>
    </row>
    <row r="14" ht="42" customHeight="1"/>
    <row r="15" ht="34.5" spans="2:19">
      <c r="B15" s="28" t="s">
        <v>2</v>
      </c>
      <c r="C15" s="29" t="s">
        <v>3</v>
      </c>
      <c r="D15" s="29" t="s">
        <v>4</v>
      </c>
      <c r="E15" s="29" t="s">
        <v>5</v>
      </c>
      <c r="F15" s="29" t="s">
        <v>6</v>
      </c>
      <c r="G15" s="30" t="s">
        <v>7</v>
      </c>
      <c r="H15" s="30" t="s">
        <v>8</v>
      </c>
      <c r="I15" s="29" t="s">
        <v>9</v>
      </c>
      <c r="J15" s="29" t="s">
        <v>10</v>
      </c>
      <c r="K15" s="29" t="s">
        <v>11</v>
      </c>
      <c r="L15" s="29" t="s">
        <v>12</v>
      </c>
      <c r="M15" s="29" t="s">
        <v>13</v>
      </c>
      <c r="N15" s="29" t="s">
        <v>14</v>
      </c>
      <c r="O15" s="29" t="s">
        <v>15</v>
      </c>
      <c r="P15" s="29" t="s">
        <v>16</v>
      </c>
      <c r="Q15" s="29" t="s">
        <v>17</v>
      </c>
      <c r="R15" s="29" t="s">
        <v>18</v>
      </c>
      <c r="S15" s="39" t="s">
        <v>19</v>
      </c>
    </row>
    <row r="16" ht="26" customHeight="1" spans="2:19">
      <c r="B16" s="31" t="s">
        <v>20</v>
      </c>
      <c r="C16" s="32" t="s">
        <v>21</v>
      </c>
      <c r="D16" s="32" t="s">
        <v>22</v>
      </c>
      <c r="E16" s="32" t="s">
        <v>23</v>
      </c>
      <c r="F16" s="32" t="s">
        <v>24</v>
      </c>
      <c r="G16" s="32" t="s">
        <v>25</v>
      </c>
      <c r="H16" s="32" t="s">
        <v>26</v>
      </c>
      <c r="I16" s="32" t="s">
        <v>27</v>
      </c>
      <c r="J16" s="32" t="s">
        <v>28</v>
      </c>
      <c r="K16" s="32" t="s">
        <v>29</v>
      </c>
      <c r="L16" s="32" t="s">
        <v>30</v>
      </c>
      <c r="M16" s="32" t="s">
        <v>31</v>
      </c>
      <c r="N16" s="32" t="s">
        <v>32</v>
      </c>
      <c r="O16" s="32" t="s">
        <v>33</v>
      </c>
      <c r="P16" s="32" t="s">
        <v>34</v>
      </c>
      <c r="Q16" s="32" t="s">
        <v>35</v>
      </c>
      <c r="R16" s="32" t="s">
        <v>36</v>
      </c>
      <c r="S16" s="41" t="s">
        <v>37</v>
      </c>
    </row>
    <row r="17" ht="35" customHeight="1" spans="2:19">
      <c r="B17" s="33" t="s">
        <v>54</v>
      </c>
      <c r="C17" s="16" t="s">
        <v>39</v>
      </c>
      <c r="D17" s="16"/>
      <c r="E17" s="16"/>
      <c r="F17" s="16"/>
      <c r="G17" s="16"/>
      <c r="H17" s="16"/>
      <c r="I17" s="38"/>
      <c r="J17" s="38"/>
      <c r="K17" s="16"/>
      <c r="L17" s="16"/>
      <c r="M17" s="16"/>
      <c r="N17" s="16"/>
      <c r="O17" s="16"/>
      <c r="P17" s="16"/>
      <c r="Q17" s="16"/>
      <c r="R17" s="16"/>
      <c r="S17" s="42"/>
    </row>
    <row r="18" ht="35" customHeight="1" spans="2:19">
      <c r="B18" s="34"/>
      <c r="C18" s="16" t="s">
        <v>49</v>
      </c>
      <c r="D18" s="16"/>
      <c r="E18" s="16"/>
      <c r="F18" s="16"/>
      <c r="G18" s="16"/>
      <c r="H18" s="16"/>
      <c r="I18" s="38"/>
      <c r="J18" s="38"/>
      <c r="K18" s="16"/>
      <c r="L18" s="16"/>
      <c r="M18" s="16"/>
      <c r="N18" s="16"/>
      <c r="O18" s="16"/>
      <c r="P18" s="16"/>
      <c r="Q18" s="16"/>
      <c r="R18" s="16"/>
      <c r="S18" s="43"/>
    </row>
    <row r="19" ht="35" customHeight="1" spans="2:19">
      <c r="B19" s="34"/>
      <c r="C19" s="16" t="s">
        <v>50</v>
      </c>
      <c r="D19" s="16"/>
      <c r="E19" s="16"/>
      <c r="F19" s="16"/>
      <c r="G19" s="16"/>
      <c r="H19" s="16"/>
      <c r="I19" s="38"/>
      <c r="J19" s="38"/>
      <c r="K19" s="16"/>
      <c r="L19" s="16"/>
      <c r="M19" s="16"/>
      <c r="N19" s="16"/>
      <c r="O19" s="16"/>
      <c r="P19" s="16"/>
      <c r="Q19" s="16"/>
      <c r="R19" s="16"/>
      <c r="S19" s="43"/>
    </row>
    <row r="20" ht="35" customHeight="1" spans="2:19">
      <c r="B20" s="34"/>
      <c r="C20" s="16" t="s">
        <v>52</v>
      </c>
      <c r="D20" s="16"/>
      <c r="E20" s="16"/>
      <c r="F20" s="16"/>
      <c r="G20" s="16"/>
      <c r="H20" s="16"/>
      <c r="I20" s="38"/>
      <c r="J20" s="38"/>
      <c r="K20" s="16"/>
      <c r="L20" s="16"/>
      <c r="M20" s="16"/>
      <c r="N20" s="16"/>
      <c r="O20" s="16"/>
      <c r="P20" s="16"/>
      <c r="Q20" s="16"/>
      <c r="R20" s="16"/>
      <c r="S20" s="43"/>
    </row>
    <row r="21" ht="35" customHeight="1" spans="2:19">
      <c r="B21" s="34"/>
      <c r="C21" s="16" t="s">
        <v>53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44"/>
    </row>
    <row r="22" ht="35" customHeight="1" spans="2:19">
      <c r="B22" s="3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44"/>
    </row>
    <row r="23" ht="35" customHeight="1" spans="2:19"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45"/>
    </row>
    <row r="24" ht="48" customHeight="1"/>
    <row r="25" ht="34.5" spans="2:19">
      <c r="B25" s="28" t="s">
        <v>2</v>
      </c>
      <c r="C25" s="29" t="s">
        <v>3</v>
      </c>
      <c r="D25" s="29" t="s">
        <v>4</v>
      </c>
      <c r="E25" s="29" t="s">
        <v>5</v>
      </c>
      <c r="F25" s="29" t="s">
        <v>6</v>
      </c>
      <c r="G25" s="30" t="s">
        <v>7</v>
      </c>
      <c r="H25" s="30" t="s">
        <v>8</v>
      </c>
      <c r="I25" s="29" t="s">
        <v>9</v>
      </c>
      <c r="J25" s="29" t="s">
        <v>10</v>
      </c>
      <c r="K25" s="29" t="s">
        <v>11</v>
      </c>
      <c r="L25" s="29" t="s">
        <v>12</v>
      </c>
      <c r="M25" s="29" t="s">
        <v>13</v>
      </c>
      <c r="N25" s="29" t="s">
        <v>14</v>
      </c>
      <c r="O25" s="29" t="s">
        <v>15</v>
      </c>
      <c r="P25" s="29" t="s">
        <v>16</v>
      </c>
      <c r="Q25" s="29" t="s">
        <v>17</v>
      </c>
      <c r="R25" s="29" t="s">
        <v>18</v>
      </c>
      <c r="S25" s="39" t="s">
        <v>19</v>
      </c>
    </row>
    <row r="26" ht="29" customHeight="1" spans="2:19">
      <c r="B26" s="31" t="s">
        <v>20</v>
      </c>
      <c r="C26" s="32" t="s">
        <v>21</v>
      </c>
      <c r="D26" s="32" t="s">
        <v>22</v>
      </c>
      <c r="E26" s="32" t="s">
        <v>23</v>
      </c>
      <c r="F26" s="32" t="s">
        <v>24</v>
      </c>
      <c r="G26" s="32" t="s">
        <v>25</v>
      </c>
      <c r="H26" s="32" t="s">
        <v>26</v>
      </c>
      <c r="I26" s="32" t="s">
        <v>27</v>
      </c>
      <c r="J26" s="32" t="s">
        <v>28</v>
      </c>
      <c r="K26" s="32" t="s">
        <v>29</v>
      </c>
      <c r="L26" s="32" t="s">
        <v>30</v>
      </c>
      <c r="M26" s="32" t="s">
        <v>31</v>
      </c>
      <c r="N26" s="32" t="s">
        <v>32</v>
      </c>
      <c r="O26" s="32" t="s">
        <v>33</v>
      </c>
      <c r="P26" s="32" t="s">
        <v>34</v>
      </c>
      <c r="Q26" s="32" t="s">
        <v>35</v>
      </c>
      <c r="R26" s="32" t="s">
        <v>36</v>
      </c>
      <c r="S26" s="41" t="s">
        <v>37</v>
      </c>
    </row>
    <row r="27" ht="34" customHeight="1" spans="2:19">
      <c r="B27" s="33" t="s">
        <v>55</v>
      </c>
      <c r="C27" s="16" t="s">
        <v>39</v>
      </c>
      <c r="D27" s="16"/>
      <c r="E27" s="16"/>
      <c r="F27" s="16"/>
      <c r="G27" s="16"/>
      <c r="H27" s="16"/>
      <c r="I27" s="38"/>
      <c r="J27" s="38"/>
      <c r="K27" s="16"/>
      <c r="L27" s="16"/>
      <c r="M27" s="16"/>
      <c r="N27" s="16"/>
      <c r="O27" s="16"/>
      <c r="P27" s="16"/>
      <c r="Q27" s="16"/>
      <c r="R27" s="16"/>
      <c r="S27" s="42"/>
    </row>
    <row r="28" ht="34" customHeight="1" spans="2:19">
      <c r="B28" s="34"/>
      <c r="C28" s="16" t="s">
        <v>49</v>
      </c>
      <c r="D28" s="16"/>
      <c r="E28" s="16"/>
      <c r="F28" s="16"/>
      <c r="G28" s="16"/>
      <c r="H28" s="16"/>
      <c r="I28" s="38"/>
      <c r="J28" s="38"/>
      <c r="K28" s="16"/>
      <c r="L28" s="16"/>
      <c r="M28" s="16"/>
      <c r="N28" s="16"/>
      <c r="O28" s="16"/>
      <c r="P28" s="16"/>
      <c r="Q28" s="16"/>
      <c r="R28" s="16"/>
      <c r="S28" s="43"/>
    </row>
    <row r="29" ht="34" customHeight="1" spans="2:19">
      <c r="B29" s="34"/>
      <c r="C29" s="16" t="s">
        <v>52</v>
      </c>
      <c r="D29" s="16"/>
      <c r="E29" s="16"/>
      <c r="F29" s="16"/>
      <c r="G29" s="16"/>
      <c r="H29" s="16"/>
      <c r="I29" s="38"/>
      <c r="J29" s="38"/>
      <c r="K29" s="16"/>
      <c r="L29" s="16"/>
      <c r="M29" s="16"/>
      <c r="N29" s="16"/>
      <c r="O29" s="16"/>
      <c r="P29" s="16"/>
      <c r="Q29" s="16"/>
      <c r="R29" s="16"/>
      <c r="S29" s="42"/>
    </row>
    <row r="30" ht="34" customHeight="1" spans="2:19">
      <c r="B30" s="34"/>
      <c r="C30" s="16" t="s">
        <v>53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44"/>
    </row>
    <row r="31" ht="34" customHeight="1" spans="2:19">
      <c r="B31" s="3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44"/>
    </row>
    <row r="32" ht="34" customHeight="1" spans="2:19">
      <c r="B32" s="3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44"/>
    </row>
    <row r="33" ht="34" customHeight="1" spans="2:19"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45"/>
    </row>
    <row r="34" ht="48" customHeight="1"/>
    <row r="35" ht="34.5" spans="2:19">
      <c r="B35" s="28" t="s">
        <v>2</v>
      </c>
      <c r="C35" s="29" t="s">
        <v>3</v>
      </c>
      <c r="D35" s="29" t="s">
        <v>4</v>
      </c>
      <c r="E35" s="29" t="s">
        <v>5</v>
      </c>
      <c r="F35" s="29" t="s">
        <v>6</v>
      </c>
      <c r="G35" s="30" t="s">
        <v>7</v>
      </c>
      <c r="H35" s="30" t="s">
        <v>8</v>
      </c>
      <c r="I35" s="29" t="s">
        <v>9</v>
      </c>
      <c r="J35" s="29" t="s">
        <v>10</v>
      </c>
      <c r="K35" s="29" t="s">
        <v>11</v>
      </c>
      <c r="L35" s="29" t="s">
        <v>12</v>
      </c>
      <c r="M35" s="29" t="s">
        <v>13</v>
      </c>
      <c r="N35" s="29" t="s">
        <v>14</v>
      </c>
      <c r="O35" s="29" t="s">
        <v>15</v>
      </c>
      <c r="P35" s="29" t="s">
        <v>16</v>
      </c>
      <c r="Q35" s="29" t="s">
        <v>17</v>
      </c>
      <c r="R35" s="29" t="s">
        <v>18</v>
      </c>
      <c r="S35" s="39" t="s">
        <v>19</v>
      </c>
    </row>
    <row r="36" ht="28" customHeight="1" spans="2:19">
      <c r="B36" s="31" t="s">
        <v>20</v>
      </c>
      <c r="C36" s="32" t="s">
        <v>21</v>
      </c>
      <c r="D36" s="32" t="s">
        <v>22</v>
      </c>
      <c r="E36" s="32" t="s">
        <v>23</v>
      </c>
      <c r="F36" s="32" t="s">
        <v>24</v>
      </c>
      <c r="G36" s="32" t="s">
        <v>25</v>
      </c>
      <c r="H36" s="32" t="s">
        <v>26</v>
      </c>
      <c r="I36" s="32" t="s">
        <v>27</v>
      </c>
      <c r="J36" s="32" t="s">
        <v>28</v>
      </c>
      <c r="K36" s="32" t="s">
        <v>29</v>
      </c>
      <c r="L36" s="32" t="s">
        <v>30</v>
      </c>
      <c r="M36" s="32" t="s">
        <v>31</v>
      </c>
      <c r="N36" s="32" t="s">
        <v>32</v>
      </c>
      <c r="O36" s="32" t="s">
        <v>33</v>
      </c>
      <c r="P36" s="32" t="s">
        <v>34</v>
      </c>
      <c r="Q36" s="32" t="s">
        <v>35</v>
      </c>
      <c r="R36" s="32" t="s">
        <v>36</v>
      </c>
      <c r="S36" s="41" t="s">
        <v>37</v>
      </c>
    </row>
    <row r="37" ht="34" customHeight="1" spans="2:19">
      <c r="B37" s="33" t="s">
        <v>56</v>
      </c>
      <c r="C37" s="16" t="s">
        <v>39</v>
      </c>
      <c r="D37" s="16"/>
      <c r="E37" s="16"/>
      <c r="F37" s="16"/>
      <c r="G37" s="16"/>
      <c r="H37" s="16"/>
      <c r="I37" s="38"/>
      <c r="J37" s="38"/>
      <c r="K37" s="16"/>
      <c r="L37" s="16"/>
      <c r="M37" s="16"/>
      <c r="N37" s="16"/>
      <c r="O37" s="16"/>
      <c r="P37" s="16"/>
      <c r="Q37" s="16"/>
      <c r="R37" s="16"/>
      <c r="S37" s="44"/>
    </row>
    <row r="38" ht="34" customHeight="1" spans="2:19">
      <c r="B38" s="34"/>
      <c r="C38" s="16" t="s">
        <v>49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44"/>
    </row>
    <row r="39" ht="34" customHeight="1" spans="2:19">
      <c r="B39" s="34"/>
      <c r="C39" s="16" t="s">
        <v>50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44"/>
    </row>
    <row r="40" ht="34" customHeight="1" spans="2:19">
      <c r="B40" s="34"/>
      <c r="C40" s="16" t="s">
        <v>52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44"/>
    </row>
    <row r="41" ht="34" customHeight="1" spans="2:19">
      <c r="B41" s="34"/>
      <c r="C41" s="16" t="s">
        <v>53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44"/>
    </row>
    <row r="42" ht="34" customHeight="1" spans="2:19">
      <c r="B42" s="34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44"/>
    </row>
    <row r="43" ht="34" customHeight="1" spans="2:19"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45"/>
    </row>
    <row r="44" ht="52" customHeight="1"/>
    <row r="45" ht="34.5" spans="2:19">
      <c r="B45" s="28" t="s">
        <v>2</v>
      </c>
      <c r="C45" s="29" t="s">
        <v>3</v>
      </c>
      <c r="D45" s="29" t="s">
        <v>4</v>
      </c>
      <c r="E45" s="29" t="s">
        <v>5</v>
      </c>
      <c r="F45" s="29" t="s">
        <v>6</v>
      </c>
      <c r="G45" s="30" t="s">
        <v>7</v>
      </c>
      <c r="H45" s="30" t="s">
        <v>8</v>
      </c>
      <c r="I45" s="29" t="s">
        <v>9</v>
      </c>
      <c r="J45" s="29" t="s">
        <v>10</v>
      </c>
      <c r="K45" s="29" t="s">
        <v>11</v>
      </c>
      <c r="L45" s="29" t="s">
        <v>12</v>
      </c>
      <c r="M45" s="29" t="s">
        <v>13</v>
      </c>
      <c r="N45" s="29" t="s">
        <v>14</v>
      </c>
      <c r="O45" s="29" t="s">
        <v>15</v>
      </c>
      <c r="P45" s="29" t="s">
        <v>16</v>
      </c>
      <c r="Q45" s="29" t="s">
        <v>17</v>
      </c>
      <c r="R45" s="29" t="s">
        <v>18</v>
      </c>
      <c r="S45" s="39" t="s">
        <v>19</v>
      </c>
    </row>
    <row r="46" ht="30" customHeight="1" spans="2:19">
      <c r="B46" s="31" t="s">
        <v>20</v>
      </c>
      <c r="C46" s="32" t="s">
        <v>21</v>
      </c>
      <c r="D46" s="32" t="s">
        <v>22</v>
      </c>
      <c r="E46" s="32" t="s">
        <v>23</v>
      </c>
      <c r="F46" s="32" t="s">
        <v>24</v>
      </c>
      <c r="G46" s="32" t="s">
        <v>25</v>
      </c>
      <c r="H46" s="32" t="s">
        <v>26</v>
      </c>
      <c r="I46" s="32" t="s">
        <v>27</v>
      </c>
      <c r="J46" s="32" t="s">
        <v>28</v>
      </c>
      <c r="K46" s="32" t="s">
        <v>29</v>
      </c>
      <c r="L46" s="32" t="s">
        <v>30</v>
      </c>
      <c r="M46" s="32" t="s">
        <v>31</v>
      </c>
      <c r="N46" s="32" t="s">
        <v>32</v>
      </c>
      <c r="O46" s="32" t="s">
        <v>33</v>
      </c>
      <c r="P46" s="32" t="s">
        <v>34</v>
      </c>
      <c r="Q46" s="32" t="s">
        <v>35</v>
      </c>
      <c r="R46" s="32" t="s">
        <v>36</v>
      </c>
      <c r="S46" s="41" t="s">
        <v>37</v>
      </c>
    </row>
    <row r="47" ht="35" customHeight="1" spans="2:19">
      <c r="B47" s="33" t="s">
        <v>57</v>
      </c>
      <c r="C47" s="16" t="s">
        <v>58</v>
      </c>
      <c r="D47" s="16"/>
      <c r="E47" s="16"/>
      <c r="F47" s="16"/>
      <c r="G47" s="16"/>
      <c r="H47" s="16"/>
      <c r="I47" s="38"/>
      <c r="J47" s="38"/>
      <c r="K47" s="16"/>
      <c r="L47" s="16"/>
      <c r="M47" s="16"/>
      <c r="N47" s="16"/>
      <c r="O47" s="16"/>
      <c r="P47" s="16"/>
      <c r="Q47" s="16"/>
      <c r="R47" s="16"/>
      <c r="S47" s="43"/>
    </row>
    <row r="48" ht="35" customHeight="1" spans="2:19">
      <c r="B48" s="34"/>
      <c r="C48" s="16" t="s">
        <v>49</v>
      </c>
      <c r="D48" s="16"/>
      <c r="E48" s="16"/>
      <c r="F48" s="16"/>
      <c r="G48" s="16"/>
      <c r="H48" s="16"/>
      <c r="I48" s="38"/>
      <c r="J48" s="38"/>
      <c r="K48" s="16"/>
      <c r="L48" s="16"/>
      <c r="M48" s="16"/>
      <c r="N48" s="16"/>
      <c r="O48" s="16"/>
      <c r="P48" s="16"/>
      <c r="Q48" s="16"/>
      <c r="R48" s="16"/>
      <c r="S48" s="43"/>
    </row>
    <row r="49" ht="35" customHeight="1" spans="2:19">
      <c r="B49" s="34"/>
      <c r="C49" s="16" t="s">
        <v>52</v>
      </c>
      <c r="D49" s="16"/>
      <c r="E49" s="16"/>
      <c r="F49" s="16"/>
      <c r="G49" s="16"/>
      <c r="H49" s="16"/>
      <c r="I49" s="38"/>
      <c r="J49" s="38"/>
      <c r="K49" s="16"/>
      <c r="L49" s="16"/>
      <c r="M49" s="16"/>
      <c r="N49" s="16"/>
      <c r="O49" s="16"/>
      <c r="P49" s="16"/>
      <c r="Q49" s="16"/>
      <c r="R49" s="16"/>
      <c r="S49" s="43"/>
    </row>
    <row r="50" ht="35" customHeight="1" spans="2:19">
      <c r="B50" s="34"/>
      <c r="C50" s="16" t="s">
        <v>53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44"/>
    </row>
    <row r="51" ht="35" customHeight="1" spans="2:19">
      <c r="B51" s="34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44"/>
    </row>
    <row r="52" ht="35" customHeight="1" spans="2:19">
      <c r="B52" s="34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44"/>
    </row>
    <row r="53" ht="35" customHeight="1" spans="2:19">
      <c r="B53" s="35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45"/>
    </row>
    <row r="54" ht="54" customHeight="1"/>
    <row r="55" ht="34.5" spans="2:19">
      <c r="B55" s="28" t="s">
        <v>2</v>
      </c>
      <c r="C55" s="29" t="s">
        <v>3</v>
      </c>
      <c r="D55" s="29" t="s">
        <v>4</v>
      </c>
      <c r="E55" s="29" t="s">
        <v>5</v>
      </c>
      <c r="F55" s="29" t="s">
        <v>6</v>
      </c>
      <c r="G55" s="30" t="s">
        <v>7</v>
      </c>
      <c r="H55" s="30" t="s">
        <v>8</v>
      </c>
      <c r="I55" s="29" t="s">
        <v>9</v>
      </c>
      <c r="J55" s="29" t="s">
        <v>10</v>
      </c>
      <c r="K55" s="29" t="s">
        <v>11</v>
      </c>
      <c r="L55" s="29" t="s">
        <v>12</v>
      </c>
      <c r="M55" s="29" t="s">
        <v>13</v>
      </c>
      <c r="N55" s="29" t="s">
        <v>14</v>
      </c>
      <c r="O55" s="29" t="s">
        <v>15</v>
      </c>
      <c r="P55" s="29" t="s">
        <v>16</v>
      </c>
      <c r="Q55" s="29" t="s">
        <v>17</v>
      </c>
      <c r="R55" s="29" t="s">
        <v>18</v>
      </c>
      <c r="S55" s="39" t="s">
        <v>19</v>
      </c>
    </row>
    <row r="56" ht="29" customHeight="1" spans="2:19">
      <c r="B56" s="31" t="s">
        <v>20</v>
      </c>
      <c r="C56" s="32" t="s">
        <v>21</v>
      </c>
      <c r="D56" s="32" t="s">
        <v>22</v>
      </c>
      <c r="E56" s="32" t="s">
        <v>23</v>
      </c>
      <c r="F56" s="32" t="s">
        <v>24</v>
      </c>
      <c r="G56" s="32" t="s">
        <v>25</v>
      </c>
      <c r="H56" s="32" t="s">
        <v>26</v>
      </c>
      <c r="I56" s="32" t="s">
        <v>27</v>
      </c>
      <c r="J56" s="32" t="s">
        <v>28</v>
      </c>
      <c r="K56" s="32" t="s">
        <v>29</v>
      </c>
      <c r="L56" s="32" t="s">
        <v>30</v>
      </c>
      <c r="M56" s="32" t="s">
        <v>31</v>
      </c>
      <c r="N56" s="32" t="s">
        <v>32</v>
      </c>
      <c r="O56" s="32" t="s">
        <v>33</v>
      </c>
      <c r="P56" s="32" t="s">
        <v>34</v>
      </c>
      <c r="Q56" s="32" t="s">
        <v>35</v>
      </c>
      <c r="R56" s="32" t="s">
        <v>36</v>
      </c>
      <c r="S56" s="41" t="s">
        <v>37</v>
      </c>
    </row>
    <row r="57" ht="35" customHeight="1" spans="2:19">
      <c r="B57" s="33" t="s">
        <v>59</v>
      </c>
      <c r="C57" s="16" t="s">
        <v>39</v>
      </c>
      <c r="D57" s="16"/>
      <c r="E57" s="16"/>
      <c r="F57" s="16"/>
      <c r="G57" s="16"/>
      <c r="H57" s="16"/>
      <c r="I57" s="38"/>
      <c r="J57" s="38"/>
      <c r="K57" s="16"/>
      <c r="L57" s="16"/>
      <c r="M57" s="16"/>
      <c r="N57" s="16"/>
      <c r="O57" s="16"/>
      <c r="P57" s="16"/>
      <c r="Q57" s="16"/>
      <c r="R57" s="16"/>
      <c r="S57" s="43"/>
    </row>
    <row r="58" ht="35" customHeight="1" spans="2:19">
      <c r="B58" s="34"/>
      <c r="C58" s="16" t="s">
        <v>49</v>
      </c>
      <c r="D58" s="16"/>
      <c r="E58" s="16"/>
      <c r="F58" s="16"/>
      <c r="G58" s="16"/>
      <c r="H58" s="16"/>
      <c r="I58" s="38"/>
      <c r="J58" s="38"/>
      <c r="K58" s="16"/>
      <c r="L58" s="16"/>
      <c r="M58" s="16"/>
      <c r="N58" s="16"/>
      <c r="O58" s="16"/>
      <c r="P58" s="16"/>
      <c r="Q58" s="16"/>
      <c r="R58" s="16"/>
      <c r="S58" s="43"/>
    </row>
    <row r="59" ht="35" customHeight="1" spans="2:19">
      <c r="B59" s="34"/>
      <c r="C59" s="16" t="s">
        <v>52</v>
      </c>
      <c r="D59" s="16"/>
      <c r="E59" s="16"/>
      <c r="F59" s="16"/>
      <c r="G59" s="16"/>
      <c r="H59" s="16"/>
      <c r="I59" s="38"/>
      <c r="J59" s="38"/>
      <c r="K59" s="16"/>
      <c r="L59" s="16"/>
      <c r="M59" s="16"/>
      <c r="N59" s="16"/>
      <c r="O59" s="16"/>
      <c r="P59" s="16"/>
      <c r="Q59" s="16"/>
      <c r="R59" s="16"/>
      <c r="S59" s="43"/>
    </row>
    <row r="60" ht="35" customHeight="1" spans="2:19">
      <c r="B60" s="34"/>
      <c r="C60" s="16" t="s">
        <v>53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44"/>
    </row>
    <row r="61" ht="35" customHeight="1" spans="2:19">
      <c r="B61" s="34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44"/>
    </row>
    <row r="62" ht="35" customHeight="1" spans="2:19">
      <c r="B62" s="34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44"/>
    </row>
    <row r="63" ht="35" customHeight="1" spans="2:19">
      <c r="B63" s="35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45"/>
    </row>
    <row r="64" ht="55" customHeight="1"/>
    <row r="65" ht="34.5" spans="2:19">
      <c r="B65" s="28" t="s">
        <v>2</v>
      </c>
      <c r="C65" s="29" t="s">
        <v>3</v>
      </c>
      <c r="D65" s="29" t="s">
        <v>4</v>
      </c>
      <c r="E65" s="29" t="s">
        <v>5</v>
      </c>
      <c r="F65" s="29" t="s">
        <v>6</v>
      </c>
      <c r="G65" s="30" t="s">
        <v>7</v>
      </c>
      <c r="H65" s="30" t="s">
        <v>8</v>
      </c>
      <c r="I65" s="29" t="s">
        <v>9</v>
      </c>
      <c r="J65" s="29" t="s">
        <v>10</v>
      </c>
      <c r="K65" s="29" t="s">
        <v>11</v>
      </c>
      <c r="L65" s="29" t="s">
        <v>12</v>
      </c>
      <c r="M65" s="29" t="s">
        <v>13</v>
      </c>
      <c r="N65" s="29" t="s">
        <v>14</v>
      </c>
      <c r="O65" s="29" t="s">
        <v>15</v>
      </c>
      <c r="P65" s="29" t="s">
        <v>16</v>
      </c>
      <c r="Q65" s="29" t="s">
        <v>17</v>
      </c>
      <c r="R65" s="29" t="s">
        <v>18</v>
      </c>
      <c r="S65" s="39" t="s">
        <v>19</v>
      </c>
    </row>
    <row r="66" ht="28" customHeight="1" spans="2:19">
      <c r="B66" s="31" t="s">
        <v>20</v>
      </c>
      <c r="C66" s="32" t="s">
        <v>21</v>
      </c>
      <c r="D66" s="32" t="s">
        <v>22</v>
      </c>
      <c r="E66" s="32" t="s">
        <v>23</v>
      </c>
      <c r="F66" s="32" t="s">
        <v>24</v>
      </c>
      <c r="G66" s="32" t="s">
        <v>25</v>
      </c>
      <c r="H66" s="32" t="s">
        <v>26</v>
      </c>
      <c r="I66" s="32" t="s">
        <v>27</v>
      </c>
      <c r="J66" s="32" t="s">
        <v>28</v>
      </c>
      <c r="K66" s="32" t="s">
        <v>29</v>
      </c>
      <c r="L66" s="32" t="s">
        <v>30</v>
      </c>
      <c r="M66" s="32" t="s">
        <v>31</v>
      </c>
      <c r="N66" s="32" t="s">
        <v>32</v>
      </c>
      <c r="O66" s="32" t="s">
        <v>33</v>
      </c>
      <c r="P66" s="32" t="s">
        <v>34</v>
      </c>
      <c r="Q66" s="32" t="s">
        <v>35</v>
      </c>
      <c r="R66" s="32" t="s">
        <v>36</v>
      </c>
      <c r="S66" s="41" t="s">
        <v>37</v>
      </c>
    </row>
    <row r="67" ht="35" customHeight="1" spans="2:19">
      <c r="B67" s="33" t="s">
        <v>60</v>
      </c>
      <c r="C67" s="16" t="s">
        <v>39</v>
      </c>
      <c r="D67" s="16"/>
      <c r="E67" s="16"/>
      <c r="F67" s="16"/>
      <c r="G67" s="16"/>
      <c r="H67" s="16"/>
      <c r="I67" s="38"/>
      <c r="J67" s="38"/>
      <c r="K67" s="16"/>
      <c r="L67" s="16"/>
      <c r="M67" s="16"/>
      <c r="N67" s="16"/>
      <c r="O67" s="16"/>
      <c r="P67" s="16"/>
      <c r="Q67" s="16"/>
      <c r="R67" s="16"/>
      <c r="S67" s="44"/>
    </row>
    <row r="68" ht="35" customHeight="1" spans="2:19">
      <c r="B68" s="34"/>
      <c r="C68" s="16" t="s">
        <v>49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44"/>
    </row>
    <row r="69" ht="35" customHeight="1" spans="2:19">
      <c r="B69" s="34"/>
      <c r="C69" s="16" t="s">
        <v>50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44"/>
    </row>
    <row r="70" ht="35" customHeight="1" spans="2:19">
      <c r="B70" s="34"/>
      <c r="C70" s="16" t="s">
        <v>52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44"/>
    </row>
    <row r="71" ht="35" customHeight="1" spans="2:19">
      <c r="B71" s="34"/>
      <c r="C71" s="16" t="s">
        <v>53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44"/>
    </row>
    <row r="72" ht="35" customHeight="1" spans="2:19">
      <c r="B72" s="34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44"/>
    </row>
    <row r="73" ht="35" customHeight="1" spans="2:19">
      <c r="B73" s="35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45"/>
    </row>
    <row r="74" ht="47" customHeight="1"/>
    <row r="75" ht="34.5" spans="2:19">
      <c r="B75" s="28" t="s">
        <v>2</v>
      </c>
      <c r="C75" s="29" t="s">
        <v>3</v>
      </c>
      <c r="D75" s="29" t="s">
        <v>4</v>
      </c>
      <c r="E75" s="29" t="s">
        <v>5</v>
      </c>
      <c r="F75" s="29" t="s">
        <v>6</v>
      </c>
      <c r="G75" s="30" t="s">
        <v>7</v>
      </c>
      <c r="H75" s="30" t="s">
        <v>8</v>
      </c>
      <c r="I75" s="29" t="s">
        <v>9</v>
      </c>
      <c r="J75" s="29" t="s">
        <v>10</v>
      </c>
      <c r="K75" s="29" t="s">
        <v>11</v>
      </c>
      <c r="L75" s="29" t="s">
        <v>12</v>
      </c>
      <c r="M75" s="29" t="s">
        <v>13</v>
      </c>
      <c r="N75" s="29" t="s">
        <v>14</v>
      </c>
      <c r="O75" s="29" t="s">
        <v>15</v>
      </c>
      <c r="P75" s="29" t="s">
        <v>16</v>
      </c>
      <c r="Q75" s="29" t="s">
        <v>17</v>
      </c>
      <c r="R75" s="29" t="s">
        <v>18</v>
      </c>
      <c r="S75" s="39" t="s">
        <v>19</v>
      </c>
    </row>
    <row r="76" ht="27" customHeight="1" spans="2:19">
      <c r="B76" s="31" t="s">
        <v>20</v>
      </c>
      <c r="C76" s="32" t="s">
        <v>21</v>
      </c>
      <c r="D76" s="32" t="s">
        <v>22</v>
      </c>
      <c r="E76" s="32" t="s">
        <v>23</v>
      </c>
      <c r="F76" s="32" t="s">
        <v>24</v>
      </c>
      <c r="G76" s="32" t="s">
        <v>25</v>
      </c>
      <c r="H76" s="32" t="s">
        <v>26</v>
      </c>
      <c r="I76" s="32" t="s">
        <v>27</v>
      </c>
      <c r="J76" s="32" t="s">
        <v>28</v>
      </c>
      <c r="K76" s="32" t="s">
        <v>29</v>
      </c>
      <c r="L76" s="32" t="s">
        <v>30</v>
      </c>
      <c r="M76" s="32" t="s">
        <v>31</v>
      </c>
      <c r="N76" s="32" t="s">
        <v>32</v>
      </c>
      <c r="O76" s="32" t="s">
        <v>33</v>
      </c>
      <c r="P76" s="32" t="s">
        <v>34</v>
      </c>
      <c r="Q76" s="32" t="s">
        <v>35</v>
      </c>
      <c r="R76" s="32" t="s">
        <v>36</v>
      </c>
      <c r="S76" s="41" t="s">
        <v>37</v>
      </c>
    </row>
    <row r="77" ht="35" customHeight="1" spans="2:19">
      <c r="B77" s="33" t="s">
        <v>61</v>
      </c>
      <c r="C77" s="16" t="s">
        <v>39</v>
      </c>
      <c r="D77" s="16"/>
      <c r="E77" s="16"/>
      <c r="F77" s="16"/>
      <c r="G77" s="16"/>
      <c r="H77" s="16"/>
      <c r="I77" s="38"/>
      <c r="J77" s="38"/>
      <c r="K77" s="16"/>
      <c r="L77" s="16"/>
      <c r="M77" s="16"/>
      <c r="N77" s="16"/>
      <c r="O77" s="16"/>
      <c r="P77" s="16"/>
      <c r="Q77" s="16"/>
      <c r="R77" s="16"/>
      <c r="S77" s="44"/>
    </row>
    <row r="78" ht="35" customHeight="1" spans="2:19">
      <c r="B78" s="34"/>
      <c r="C78" s="16" t="s">
        <v>49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44"/>
    </row>
    <row r="79" ht="35" customHeight="1" spans="2:19">
      <c r="B79" s="34"/>
      <c r="C79" s="16" t="s">
        <v>50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44"/>
    </row>
    <row r="80" ht="35" customHeight="1" spans="2:19">
      <c r="B80" s="34"/>
      <c r="C80" s="16" t="s">
        <v>52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44"/>
    </row>
    <row r="81" ht="35" customHeight="1" spans="2:19">
      <c r="B81" s="34"/>
      <c r="C81" s="16" t="s">
        <v>53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44"/>
    </row>
    <row r="82" ht="35" customHeight="1" spans="2:19">
      <c r="B82" s="34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44"/>
    </row>
    <row r="83" ht="35" customHeight="1" spans="2:19">
      <c r="B83" s="35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45"/>
    </row>
    <row r="84" ht="44" customHeight="1"/>
    <row r="85" ht="34.5" spans="2:19">
      <c r="B85" s="28" t="s">
        <v>2</v>
      </c>
      <c r="C85" s="29" t="s">
        <v>3</v>
      </c>
      <c r="D85" s="29" t="s">
        <v>4</v>
      </c>
      <c r="E85" s="29" t="s">
        <v>5</v>
      </c>
      <c r="F85" s="29" t="s">
        <v>6</v>
      </c>
      <c r="G85" s="30" t="s">
        <v>7</v>
      </c>
      <c r="H85" s="30" t="s">
        <v>8</v>
      </c>
      <c r="I85" s="29" t="s">
        <v>9</v>
      </c>
      <c r="J85" s="29" t="s">
        <v>10</v>
      </c>
      <c r="K85" s="29" t="s">
        <v>11</v>
      </c>
      <c r="L85" s="29" t="s">
        <v>12</v>
      </c>
      <c r="M85" s="29" t="s">
        <v>13</v>
      </c>
      <c r="N85" s="29" t="s">
        <v>14</v>
      </c>
      <c r="O85" s="29" t="s">
        <v>15</v>
      </c>
      <c r="P85" s="29" t="s">
        <v>16</v>
      </c>
      <c r="Q85" s="29" t="s">
        <v>17</v>
      </c>
      <c r="R85" s="29" t="s">
        <v>18</v>
      </c>
      <c r="S85" s="39" t="s">
        <v>19</v>
      </c>
    </row>
    <row r="86" ht="26" customHeight="1" spans="2:19">
      <c r="B86" s="31" t="s">
        <v>20</v>
      </c>
      <c r="C86" s="32" t="s">
        <v>21</v>
      </c>
      <c r="D86" s="32" t="s">
        <v>22</v>
      </c>
      <c r="E86" s="32" t="s">
        <v>23</v>
      </c>
      <c r="F86" s="32" t="s">
        <v>24</v>
      </c>
      <c r="G86" s="32" t="s">
        <v>25</v>
      </c>
      <c r="H86" s="32" t="s">
        <v>26</v>
      </c>
      <c r="I86" s="32" t="s">
        <v>27</v>
      </c>
      <c r="J86" s="32" t="s">
        <v>28</v>
      </c>
      <c r="K86" s="32" t="s">
        <v>29</v>
      </c>
      <c r="L86" s="32" t="s">
        <v>30</v>
      </c>
      <c r="M86" s="32" t="s">
        <v>31</v>
      </c>
      <c r="N86" s="32" t="s">
        <v>32</v>
      </c>
      <c r="O86" s="32" t="s">
        <v>33</v>
      </c>
      <c r="P86" s="32" t="s">
        <v>34</v>
      </c>
      <c r="Q86" s="32" t="s">
        <v>35</v>
      </c>
      <c r="R86" s="32" t="s">
        <v>36</v>
      </c>
      <c r="S86" s="41" t="s">
        <v>37</v>
      </c>
    </row>
    <row r="87" ht="35" customHeight="1" spans="2:19">
      <c r="B87" s="33" t="s">
        <v>62</v>
      </c>
      <c r="C87" s="16" t="s">
        <v>39</v>
      </c>
      <c r="D87" s="16"/>
      <c r="E87" s="16"/>
      <c r="F87" s="16"/>
      <c r="G87" s="16"/>
      <c r="H87" s="16"/>
      <c r="I87" s="38"/>
      <c r="J87" s="38"/>
      <c r="K87" s="16"/>
      <c r="L87" s="16"/>
      <c r="M87" s="16"/>
      <c r="N87" s="16"/>
      <c r="O87" s="16"/>
      <c r="P87" s="16"/>
      <c r="Q87" s="16"/>
      <c r="R87" s="16"/>
      <c r="S87" s="44"/>
    </row>
    <row r="88" ht="35" customHeight="1" spans="2:19">
      <c r="B88" s="34"/>
      <c r="C88" s="16" t="s">
        <v>49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44"/>
    </row>
    <row r="89" ht="35" customHeight="1" spans="2:19">
      <c r="B89" s="34"/>
      <c r="C89" s="16" t="s">
        <v>50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44"/>
    </row>
    <row r="90" ht="35" customHeight="1" spans="2:19">
      <c r="B90" s="34"/>
      <c r="C90" s="16" t="s">
        <v>52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44"/>
    </row>
    <row r="91" ht="35" customHeight="1" spans="2:19">
      <c r="B91" s="34"/>
      <c r="C91" s="16" t="s">
        <v>53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44"/>
    </row>
    <row r="92" ht="35" customHeight="1" spans="2:19">
      <c r="B92" s="34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44"/>
    </row>
    <row r="93" ht="35" customHeight="1" spans="2:19"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45"/>
    </row>
    <row r="94" ht="44" customHeight="1"/>
    <row r="95" ht="34.5" spans="2:19">
      <c r="B95" s="28" t="s">
        <v>2</v>
      </c>
      <c r="C95" s="29" t="s">
        <v>3</v>
      </c>
      <c r="D95" s="29" t="s">
        <v>4</v>
      </c>
      <c r="E95" s="29" t="s">
        <v>5</v>
      </c>
      <c r="F95" s="29" t="s">
        <v>6</v>
      </c>
      <c r="G95" s="30" t="s">
        <v>7</v>
      </c>
      <c r="H95" s="30" t="s">
        <v>8</v>
      </c>
      <c r="I95" s="29" t="s">
        <v>9</v>
      </c>
      <c r="J95" s="29" t="s">
        <v>10</v>
      </c>
      <c r="K95" s="29" t="s">
        <v>11</v>
      </c>
      <c r="L95" s="29" t="s">
        <v>12</v>
      </c>
      <c r="M95" s="29" t="s">
        <v>13</v>
      </c>
      <c r="N95" s="29" t="s">
        <v>14</v>
      </c>
      <c r="O95" s="29" t="s">
        <v>15</v>
      </c>
      <c r="P95" s="29" t="s">
        <v>16</v>
      </c>
      <c r="Q95" s="29" t="s">
        <v>17</v>
      </c>
      <c r="R95" s="29" t="s">
        <v>18</v>
      </c>
      <c r="S95" s="39" t="s">
        <v>19</v>
      </c>
    </row>
    <row r="96" ht="28" customHeight="1" spans="2:19">
      <c r="B96" s="31" t="s">
        <v>20</v>
      </c>
      <c r="C96" s="32" t="s">
        <v>21</v>
      </c>
      <c r="D96" s="32" t="s">
        <v>22</v>
      </c>
      <c r="E96" s="32" t="s">
        <v>23</v>
      </c>
      <c r="F96" s="32" t="s">
        <v>24</v>
      </c>
      <c r="G96" s="32" t="s">
        <v>25</v>
      </c>
      <c r="H96" s="32" t="s">
        <v>26</v>
      </c>
      <c r="I96" s="32" t="s">
        <v>27</v>
      </c>
      <c r="J96" s="32" t="s">
        <v>28</v>
      </c>
      <c r="K96" s="32" t="s">
        <v>29</v>
      </c>
      <c r="L96" s="32" t="s">
        <v>30</v>
      </c>
      <c r="M96" s="32" t="s">
        <v>31</v>
      </c>
      <c r="N96" s="32" t="s">
        <v>32</v>
      </c>
      <c r="O96" s="32" t="s">
        <v>33</v>
      </c>
      <c r="P96" s="32" t="s">
        <v>34</v>
      </c>
      <c r="Q96" s="32" t="s">
        <v>35</v>
      </c>
      <c r="R96" s="32" t="s">
        <v>36</v>
      </c>
      <c r="S96" s="41" t="s">
        <v>37</v>
      </c>
    </row>
    <row r="97" ht="35" customHeight="1" spans="2:19">
      <c r="B97" s="33" t="s">
        <v>63</v>
      </c>
      <c r="C97" s="16" t="s">
        <v>39</v>
      </c>
      <c r="D97" s="16"/>
      <c r="E97" s="16"/>
      <c r="F97" s="16"/>
      <c r="G97" s="16"/>
      <c r="H97" s="16"/>
      <c r="I97" s="38"/>
      <c r="J97" s="38"/>
      <c r="K97" s="16"/>
      <c r="L97" s="16"/>
      <c r="M97" s="16"/>
      <c r="N97" s="16"/>
      <c r="O97" s="16"/>
      <c r="P97" s="16"/>
      <c r="Q97" s="16"/>
      <c r="R97" s="16"/>
      <c r="S97" s="44"/>
    </row>
    <row r="98" ht="35" customHeight="1" spans="2:19">
      <c r="B98" s="34"/>
      <c r="C98" s="16" t="s">
        <v>49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44"/>
    </row>
    <row r="99" ht="35" customHeight="1" spans="2:19">
      <c r="B99" s="34"/>
      <c r="C99" s="16" t="s">
        <v>50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44"/>
    </row>
    <row r="100" ht="35" customHeight="1" spans="2:19">
      <c r="B100" s="34"/>
      <c r="C100" s="16" t="s">
        <v>52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44"/>
    </row>
    <row r="101" ht="35" customHeight="1" spans="2:19">
      <c r="B101" s="34"/>
      <c r="C101" s="16" t="s">
        <v>53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44"/>
    </row>
    <row r="102" ht="35" customHeight="1" spans="2:19">
      <c r="B102" s="34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44"/>
    </row>
    <row r="103" ht="35" customHeight="1" spans="2:19">
      <c r="B103" s="35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45"/>
    </row>
  </sheetData>
  <mergeCells count="11">
    <mergeCell ref="B2:H2"/>
    <mergeCell ref="B7:B13"/>
    <mergeCell ref="B17:B23"/>
    <mergeCell ref="B27:B33"/>
    <mergeCell ref="B37:B43"/>
    <mergeCell ref="B47:B53"/>
    <mergeCell ref="B57:B63"/>
    <mergeCell ref="B67:B73"/>
    <mergeCell ref="B77:B83"/>
    <mergeCell ref="B87:B93"/>
    <mergeCell ref="B97:B103"/>
  </mergeCells>
  <dataValidations count="1">
    <dataValidation type="whole" operator="between" allowBlank="1" showInputMessage="1" showErrorMessage="1" sqref="G27:H33 G97:H103 G7:H13 G77:H83 G17:H23 G87:H93 G37:H43 G47:H53 G67:H73 G57:H63">
      <formula1>0</formula1>
      <formula2>999999999999</formula2>
    </dataValidation>
  </dataValidations>
  <hyperlinks>
    <hyperlink ref="B2" r:id="rId4" display="点此阅读：（人身）保险入门（不完全）指南"/>
    <hyperlink ref="B2:H2" r:id="rId4" display="点此阅读：（人身）保险入门（不完全）指南"/>
  </hyperlink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75585192419"/>
  </sheetPr>
  <dimension ref="B2:I15"/>
  <sheetViews>
    <sheetView showGridLines="0" workbookViewId="0">
      <selection activeCell="I26" sqref="I26"/>
    </sheetView>
  </sheetViews>
  <sheetFormatPr defaultColWidth="11" defaultRowHeight="15.75"/>
  <cols>
    <col min="2" max="2" width="15.3333333333333" customWidth="1"/>
    <col min="3" max="7" width="17.6666666666667" customWidth="1"/>
    <col min="8" max="9" width="16.3333333333333" customWidth="1"/>
  </cols>
  <sheetData>
    <row r="2" ht="25" customHeight="1" spans="2:3">
      <c r="B2" s="8" t="s">
        <v>64</v>
      </c>
      <c r="C2" s="9">
        <f ca="1">NOW()</f>
        <v>44509.9506597222</v>
      </c>
    </row>
    <row r="3" ht="42" customHeight="1" spans="2:9">
      <c r="B3" s="10" t="s">
        <v>65</v>
      </c>
      <c r="C3" s="11"/>
      <c r="D3" s="11"/>
      <c r="E3" s="11"/>
      <c r="F3" s="11"/>
      <c r="G3" s="11"/>
      <c r="H3" s="11"/>
      <c r="I3" s="22"/>
    </row>
    <row r="4" ht="47" customHeight="1" spans="2:9">
      <c r="B4" s="12" t="s">
        <v>66</v>
      </c>
      <c r="C4" s="13" t="s">
        <v>39</v>
      </c>
      <c r="D4" s="13" t="s">
        <v>49</v>
      </c>
      <c r="E4" s="13" t="s">
        <v>50</v>
      </c>
      <c r="F4" s="13" t="s">
        <v>52</v>
      </c>
      <c r="G4" s="13" t="s">
        <v>53</v>
      </c>
      <c r="H4" s="14" t="s">
        <v>67</v>
      </c>
      <c r="I4" s="23" t="s">
        <v>68</v>
      </c>
    </row>
    <row r="5" ht="30" customHeight="1" spans="2:9">
      <c r="B5" s="15" t="s">
        <v>69</v>
      </c>
      <c r="C5" s="16">
        <f>SUMIF('投保清单（请在此清单中填写）'!$C$7:$C$13,'汇总表格（无需手动填写）'!C4,'投保清单（请在此清单中填写）'!$G$7:$G$13)</f>
        <v>50</v>
      </c>
      <c r="D5" s="16">
        <f>SUMIF('投保清单（请在此清单中填写）'!$C$7:$C$13,'汇总表格（无需手动填写）'!D4,'投保清单（请在此清单中填写）'!$G$7:$G$13)</f>
        <v>0</v>
      </c>
      <c r="E5" s="16">
        <f>SUMIF('投保清单（请在此清单中填写）'!$C$7:$C$13,'汇总表格（无需手动填写）'!E4,'投保清单（请在此清单中填写）'!$G$7:$G$13)</f>
        <v>0</v>
      </c>
      <c r="F5" s="16">
        <f>SUMIF('投保清单（请在此清单中填写）'!$C$7:$C$13,'汇总表格（无需手动填写）'!F4,'投保清单（请在此清单中填写）'!$G$7:$G$13)</f>
        <v>0</v>
      </c>
      <c r="G5" s="16">
        <f>SUMIF('投保清单（请在此清单中填写）'!$C$7:$C$13,'汇总表格（无需手动填写）'!G4,'投保清单（请在此清单中填写）'!$G$7:$G$13)</f>
        <v>0</v>
      </c>
      <c r="H5" s="17">
        <f>SUM(C5:G5)</f>
        <v>50</v>
      </c>
      <c r="I5" s="24">
        <f>SUM('投保清单（请在此清单中填写）'!H7:H13)</f>
        <v>8585</v>
      </c>
    </row>
    <row r="6" ht="30" customHeight="1" spans="2:9">
      <c r="B6" s="15" t="s">
        <v>46</v>
      </c>
      <c r="C6" s="16">
        <f>SUMIF('投保清单（请在此清单中填写）'!$C$17:$C$23,'汇总表格（无需手动填写）'!C4,'投保清单（请在此清单中填写）'!$G$17:$G$23)</f>
        <v>0</v>
      </c>
      <c r="D6" s="16">
        <f>SUMIF('投保清单（请在此清单中填写）'!$C$17:$C$23,'汇总表格（无需手动填写）'!D4,'投保清单（请在此清单中填写）'!$G$17:$G$23)</f>
        <v>0</v>
      </c>
      <c r="E6" s="16">
        <f>SUMIF('投保清单（请在此清单中填写）'!$C$17:$C$23,'汇总表格（无需手动填写）'!E4,'投保清单（请在此清单中填写）'!$G$17:$G$23)</f>
        <v>0</v>
      </c>
      <c r="F6" s="16">
        <f>SUMIF('投保清单（请在此清单中填写）'!$C$17:$C$23,'汇总表格（无需手动填写）'!F4,'投保清单（请在此清单中填写）'!$G$17:$G$23)</f>
        <v>0</v>
      </c>
      <c r="G6" s="16">
        <f>SUMIF('投保清单（请在此清单中填写）'!$C$17:$C$23,'汇总表格（无需手动填写）'!G4,'投保清单（请在此清单中填写）'!$G$17:$G$23)</f>
        <v>0</v>
      </c>
      <c r="H6" s="17">
        <f t="shared" ref="H6:H14" si="0">SUM(C6:G6)</f>
        <v>0</v>
      </c>
      <c r="I6" s="24">
        <f>SUM('投保清单（请在此清单中填写）'!H17:H23)</f>
        <v>0</v>
      </c>
    </row>
    <row r="7" ht="30" customHeight="1" spans="2:9">
      <c r="B7" s="15" t="s">
        <v>70</v>
      </c>
      <c r="C7" s="16">
        <f>SUMIF('投保清单（请在此清单中填写）'!$C$27:$C$33,'汇总表格（无需手动填写）'!C4,'投保清单（请在此清单中填写）'!$G$27:$G$33)</f>
        <v>0</v>
      </c>
      <c r="D7" s="16">
        <f>SUMIF('投保清单（请在此清单中填写）'!$C$27:$C$33,'汇总表格（无需手动填写）'!D4,'投保清单（请在此清单中填写）'!$G$27:$G$33)</f>
        <v>0</v>
      </c>
      <c r="E7" s="16">
        <f>SUMIF('投保清单（请在此清单中填写）'!$C$27:$C$33,'汇总表格（无需手动填写）'!E4,'投保清单（请在此清单中填写）'!$G$27:$G$33)</f>
        <v>0</v>
      </c>
      <c r="F7" s="16">
        <f>SUMIF('投保清单（请在此清单中填写）'!$C$27:$C$33,'汇总表格（无需手动填写）'!F4,'投保清单（请在此清单中填写）'!$G$27:$G$33)</f>
        <v>0</v>
      </c>
      <c r="G7" s="16">
        <f>SUMIF('投保清单（请在此清单中填写）'!$C$27:$C$33,'汇总表格（无需手动填写）'!G4,'投保清单（请在此清单中填写）'!$G$27:$G$33)</f>
        <v>0</v>
      </c>
      <c r="H7" s="17">
        <f t="shared" si="0"/>
        <v>0</v>
      </c>
      <c r="I7" s="24">
        <f>SUM('投保清单（请在此清单中填写）'!H27:H33)</f>
        <v>0</v>
      </c>
    </row>
    <row r="8" ht="30" customHeight="1" spans="2:9">
      <c r="B8" s="15" t="s">
        <v>71</v>
      </c>
      <c r="C8" s="16">
        <f>SUMIF('投保清单（请在此清单中填写）'!$C$37:$C$43,'汇总表格（无需手动填写）'!C4,'投保清单（请在此清单中填写）'!$G$37:$G$43)</f>
        <v>0</v>
      </c>
      <c r="D8" s="16">
        <f>SUMIF('投保清单（请在此清单中填写）'!$C$37:$C$43,'汇总表格（无需手动填写）'!D4,'投保清单（请在此清单中填写）'!$G$37:$G$43)</f>
        <v>0</v>
      </c>
      <c r="E8" s="16">
        <f>SUMIF('投保清单（请在此清单中填写）'!$C$37:$C$43,'汇总表格（无需手动填写）'!E4,'投保清单（请在此清单中填写）'!$G$37:$G$43)</f>
        <v>0</v>
      </c>
      <c r="F8" s="16">
        <f>SUMIF('投保清单（请在此清单中填写）'!$C$37:$C$43,'汇总表格（无需手动填写）'!F4,'投保清单（请在此清单中填写）'!$G$37:$G$43)</f>
        <v>0</v>
      </c>
      <c r="G8" s="16">
        <f>SUMIF('投保清单（请在此清单中填写）'!$C$37:$C$43,'汇总表格（无需手动填写）'!G4,'投保清单（请在此清单中填写）'!$G$37:$G$43)</f>
        <v>0</v>
      </c>
      <c r="H8" s="17">
        <f t="shared" si="0"/>
        <v>0</v>
      </c>
      <c r="I8" s="24">
        <f>SUM('投保清单（请在此清单中填写）'!H37:H43)</f>
        <v>0</v>
      </c>
    </row>
    <row r="9" ht="30" customHeight="1" spans="2:9">
      <c r="B9" s="15" t="s">
        <v>72</v>
      </c>
      <c r="C9" s="16">
        <f>SUMIF('投保清单（请在此清单中填写）'!$C$47:$C$53,'汇总表格（无需手动填写）'!C4,'投保清单（请在此清单中填写）'!$G$47:$G$53)</f>
        <v>0</v>
      </c>
      <c r="D9" s="16">
        <f>SUMIF('投保清单（请在此清单中填写）'!$C$47:$C$53,'汇总表格（无需手动填写）'!D4,'投保清单（请在此清单中填写）'!$G$47:$G$53)</f>
        <v>0</v>
      </c>
      <c r="E9" s="16">
        <f>SUMIF('投保清单（请在此清单中填写）'!$C$47:$C$53,'汇总表格（无需手动填写）'!E4,'投保清单（请在此清单中填写）'!$G$47:$G$53)</f>
        <v>0</v>
      </c>
      <c r="F9" s="16">
        <f>SUMIF('投保清单（请在此清单中填写）'!$C$47:$C$53,'汇总表格（无需手动填写）'!F4,'投保清单（请在此清单中填写）'!$G$47:$G$53)</f>
        <v>0</v>
      </c>
      <c r="G9" s="16">
        <f>SUMIF('投保清单（请在此清单中填写）'!$C$47:$C$53,'汇总表格（无需手动填写）'!G4,'投保清单（请在此清单中填写）'!$G$47:$G$53)</f>
        <v>0</v>
      </c>
      <c r="H9" s="17">
        <f t="shared" si="0"/>
        <v>0</v>
      </c>
      <c r="I9" s="24">
        <f>SUM('投保清单（请在此清单中填写）'!H47:H53)</f>
        <v>0</v>
      </c>
    </row>
    <row r="10" ht="30" customHeight="1" spans="2:9">
      <c r="B10" s="15" t="s">
        <v>73</v>
      </c>
      <c r="C10" s="16">
        <f>SUMIF('投保清单（请在此清单中填写）'!$C$57:$C$63,'汇总表格（无需手动填写）'!C4,'投保清单（请在此清单中填写）'!$G$57:$G$63)</f>
        <v>0</v>
      </c>
      <c r="D10" s="16">
        <f>SUMIF('投保清单（请在此清单中填写）'!$C$57:$C$63,'汇总表格（无需手动填写）'!D4,'投保清单（请在此清单中填写）'!$G$57:$G$63)</f>
        <v>0</v>
      </c>
      <c r="E10" s="16">
        <f>SUMIF('投保清单（请在此清单中填写）'!$C$57:$C$63,'汇总表格（无需手动填写）'!E4,'投保清单（请在此清单中填写）'!$G$57:$G$63)</f>
        <v>0</v>
      </c>
      <c r="F10" s="16">
        <f>SUMIF('投保清单（请在此清单中填写）'!$C$57:$C$63,'汇总表格（无需手动填写）'!F4,'投保清单（请在此清单中填写）'!$G$57:$G$63)</f>
        <v>0</v>
      </c>
      <c r="G10" s="16">
        <f>SUMIF('投保清单（请在此清单中填写）'!$C$57:$C$63,'汇总表格（无需手动填写）'!G4,'投保清单（请在此清单中填写）'!$G$57:$G$63)</f>
        <v>0</v>
      </c>
      <c r="H10" s="17">
        <f t="shared" si="0"/>
        <v>0</v>
      </c>
      <c r="I10" s="24">
        <f>SUM('投保清单（请在此清单中填写）'!H57:H63)</f>
        <v>0</v>
      </c>
    </row>
    <row r="11" ht="30" customHeight="1" spans="2:9">
      <c r="B11" s="15" t="s">
        <v>74</v>
      </c>
      <c r="C11" s="16">
        <f>SUMIF('投保清单（请在此清单中填写）'!$C$67:$C$73,'汇总表格（无需手动填写）'!C4,'投保清单（请在此清单中填写）'!$G$67:$G$73)</f>
        <v>0</v>
      </c>
      <c r="D11" s="16">
        <f>SUMIF('投保清单（请在此清单中填写）'!$C$67:$C$73,'汇总表格（无需手动填写）'!D4,'投保清单（请在此清单中填写）'!$G$67:$G$73)</f>
        <v>0</v>
      </c>
      <c r="E11" s="16">
        <f>SUMIF('投保清单（请在此清单中填写）'!$C$67:$C$73,'汇总表格（无需手动填写）'!E4,'投保清单（请在此清单中填写）'!$G$67:$G$73)</f>
        <v>0</v>
      </c>
      <c r="F11" s="16">
        <f>SUMIF('投保清单（请在此清单中填写）'!$C$67:$C$73,'汇总表格（无需手动填写）'!F4,'投保清单（请在此清单中填写）'!$G$67:$G$73)</f>
        <v>0</v>
      </c>
      <c r="G11" s="16">
        <f>SUMIF('投保清单（请在此清单中填写）'!$C$67:$C$73,'汇总表格（无需手动填写）'!G4,'投保清单（请在此清单中填写）'!$G$67:$G$73)</f>
        <v>0</v>
      </c>
      <c r="H11" s="17">
        <f t="shared" si="0"/>
        <v>0</v>
      </c>
      <c r="I11" s="24">
        <f>SUM('投保清单（请在此清单中填写）'!H67:H73)</f>
        <v>0</v>
      </c>
    </row>
    <row r="12" ht="30" customHeight="1" spans="2:9">
      <c r="B12" s="15" t="s">
        <v>75</v>
      </c>
      <c r="C12" s="16">
        <f>SUMIF('投保清单（请在此清单中填写）'!$C$77:$C$83,'汇总表格（无需手动填写）'!C4,'投保清单（请在此清单中填写）'!$G$77:$G$83)</f>
        <v>0</v>
      </c>
      <c r="D12" s="16">
        <f>SUMIF('投保清单（请在此清单中填写）'!$C$77:$C$83,'汇总表格（无需手动填写）'!D4,'投保清单（请在此清单中填写）'!$G$77:$G$83)</f>
        <v>0</v>
      </c>
      <c r="E12" s="16">
        <f>SUMIF('投保清单（请在此清单中填写）'!$C$77:$C$83,'汇总表格（无需手动填写）'!E4,'投保清单（请在此清单中填写）'!$G$77:$G$83)</f>
        <v>0</v>
      </c>
      <c r="F12" s="16">
        <f>SUMIF('投保清单（请在此清单中填写）'!$C$77:$C$83,'汇总表格（无需手动填写）'!F4,'投保清单（请在此清单中填写）'!$G$77:$G$83)</f>
        <v>0</v>
      </c>
      <c r="G12" s="16">
        <f>SUMIF('投保清单（请在此清单中填写）'!$C$77:$C$83,'汇总表格（无需手动填写）'!G4,'投保清单（请在此清单中填写）'!$G$77:$G$83)</f>
        <v>0</v>
      </c>
      <c r="H12" s="17">
        <f t="shared" si="0"/>
        <v>0</v>
      </c>
      <c r="I12" s="24">
        <f>SUM('投保清单（请在此清单中填写）'!H77:H83)</f>
        <v>0</v>
      </c>
    </row>
    <row r="13" ht="30" customHeight="1" spans="2:9">
      <c r="B13" s="15" t="s">
        <v>76</v>
      </c>
      <c r="C13" s="16">
        <f>SUMIF('投保清单（请在此清单中填写）'!$C$87:$C$93,'汇总表格（无需手动填写）'!C4,'投保清单（请在此清单中填写）'!$G$87:$G$93)</f>
        <v>0</v>
      </c>
      <c r="D13" s="16">
        <f>SUMIF('投保清单（请在此清单中填写）'!$C$87:$C$93,'汇总表格（无需手动填写）'!D4,'投保清单（请在此清单中填写）'!$G$87:$G$93)</f>
        <v>0</v>
      </c>
      <c r="E13" s="16">
        <f>SUMIF('投保清单（请在此清单中填写）'!$C$87:$C$93,'汇总表格（无需手动填写）'!E4,'投保清单（请在此清单中填写）'!$G$87:$G$93)</f>
        <v>0</v>
      </c>
      <c r="F13" s="16">
        <f>SUMIF('投保清单（请在此清单中填写）'!$C$87:$C$93,'汇总表格（无需手动填写）'!F4,'投保清单（请在此清单中填写）'!$G$87:$G$93)</f>
        <v>0</v>
      </c>
      <c r="G13" s="16">
        <f>SUMIF('投保清单（请在此清单中填写）'!$C$87:$C$93,'汇总表格（无需手动填写）'!G4,'投保清单（请在此清单中填写）'!$G$87:$G$93)</f>
        <v>0</v>
      </c>
      <c r="H13" s="17">
        <f t="shared" si="0"/>
        <v>0</v>
      </c>
      <c r="I13" s="24">
        <f>SUM('投保清单（请在此清单中填写）'!H87:H93)</f>
        <v>0</v>
      </c>
    </row>
    <row r="14" ht="30" customHeight="1" spans="2:9">
      <c r="B14" s="18" t="s">
        <v>77</v>
      </c>
      <c r="C14" s="19">
        <f>SUMIF('投保清单（请在此清单中填写）'!$C$97:$C$103,'汇总表格（无需手动填写）'!C4,'投保清单（请在此清单中填写）'!$G$97:$G$103)</f>
        <v>0</v>
      </c>
      <c r="D14" s="19">
        <f>SUMIF('投保清单（请在此清单中填写）'!$C$97:$C$103,'汇总表格（无需手动填写）'!D4,'投保清单（请在此清单中填写）'!$G$97:$G$103)</f>
        <v>0</v>
      </c>
      <c r="E14" s="19">
        <f>SUMIF('投保清单（请在此清单中填写）'!$C$97:$C$103,'汇总表格（无需手动填写）'!E4,'投保清单（请在此清单中填写）'!$G$97:$G$103)</f>
        <v>0</v>
      </c>
      <c r="F14" s="19">
        <f>SUMIF('投保清单（请在此清单中填写）'!$C$97:$C$103,'汇总表格（无需手动填写）'!F4,'投保清单（请在此清单中填写）'!$G$97:$G$103)</f>
        <v>0</v>
      </c>
      <c r="G14" s="19">
        <f>SUMIF('投保清单（请在此清单中填写）'!$C$97:$C$103,'汇总表格（无需手动填写）'!G4,'投保清单（请在此清单中填写）'!$G$97:$G$103)</f>
        <v>0</v>
      </c>
      <c r="H14" s="17">
        <f t="shared" si="0"/>
        <v>0</v>
      </c>
      <c r="I14" s="24">
        <f>SUM('投保清单（请在此清单中填写）'!H97:H103)</f>
        <v>0</v>
      </c>
    </row>
    <row r="15" ht="37" customHeight="1" spans="2:9">
      <c r="B15" s="20" t="s">
        <v>78</v>
      </c>
      <c r="C15" s="21">
        <f>SUM(C5:C14)</f>
        <v>50</v>
      </c>
      <c r="D15" s="21">
        <f t="shared" ref="D15:G15" si="1">SUM(D5:D14)</f>
        <v>0</v>
      </c>
      <c r="E15" s="21">
        <f t="shared" si="1"/>
        <v>0</v>
      </c>
      <c r="F15" s="21">
        <f t="shared" si="1"/>
        <v>0</v>
      </c>
      <c r="G15" s="21">
        <f t="shared" si="1"/>
        <v>0</v>
      </c>
      <c r="H15" s="21">
        <f t="shared" ref="H15" si="2">SUM(H5:H14)</f>
        <v>50</v>
      </c>
      <c r="I15" s="25">
        <f t="shared" ref="I15" si="3">SUM(I5:I14)</f>
        <v>8585</v>
      </c>
    </row>
  </sheetData>
  <mergeCells count="1">
    <mergeCell ref="B3:I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49"/>
  <sheetViews>
    <sheetView showGridLines="0" workbookViewId="0">
      <pane xSplit="1" ySplit="2" topLeftCell="B39" activePane="bottomRight" state="frozen"/>
      <selection/>
      <selection pane="topRight"/>
      <selection pane="bottomLeft"/>
      <selection pane="bottomRight" activeCell="G9" sqref="G9"/>
    </sheetView>
  </sheetViews>
  <sheetFormatPr defaultColWidth="11" defaultRowHeight="17.25" outlineLevelCol="2"/>
  <cols>
    <col min="1" max="1" width="12.1666666666667" style="1" customWidth="1"/>
    <col min="2" max="3" width="26.8333333333333" style="1" customWidth="1"/>
    <col min="4" max="16384" width="10.8333333333333" style="2"/>
  </cols>
  <sheetData>
    <row r="1" ht="48" customHeight="1" spans="1:3">
      <c r="A1" s="3" t="s">
        <v>79</v>
      </c>
      <c r="B1" s="4"/>
      <c r="C1" s="4"/>
    </row>
    <row r="2" ht="26" customHeight="1" spans="1:3">
      <c r="A2" s="5" t="s">
        <v>80</v>
      </c>
      <c r="B2" s="5" t="s">
        <v>4</v>
      </c>
      <c r="C2" s="5" t="s">
        <v>81</v>
      </c>
    </row>
    <row r="3" ht="26" customHeight="1" spans="1:3">
      <c r="A3" s="6">
        <v>1</v>
      </c>
      <c r="B3" s="6" t="s">
        <v>82</v>
      </c>
      <c r="C3" s="6">
        <v>95569</v>
      </c>
    </row>
    <row r="4" ht="26" customHeight="1" spans="1:3">
      <c r="A4" s="7">
        <v>2</v>
      </c>
      <c r="B4" s="7" t="s">
        <v>83</v>
      </c>
      <c r="C4" s="7" t="s">
        <v>84</v>
      </c>
    </row>
    <row r="5" ht="26" customHeight="1" spans="1:3">
      <c r="A5" s="6">
        <v>3</v>
      </c>
      <c r="B5" s="6" t="s">
        <v>85</v>
      </c>
      <c r="C5" s="6">
        <v>95550</v>
      </c>
    </row>
    <row r="6" ht="26" customHeight="1" spans="1:3">
      <c r="A6" s="7">
        <v>4</v>
      </c>
      <c r="B6" s="7" t="s">
        <v>86</v>
      </c>
      <c r="C6" s="7">
        <v>95303</v>
      </c>
    </row>
    <row r="7" ht="26" customHeight="1" spans="1:3">
      <c r="A7" s="6">
        <v>5</v>
      </c>
      <c r="B7" s="6" t="s">
        <v>87</v>
      </c>
      <c r="C7" s="6">
        <v>95542</v>
      </c>
    </row>
    <row r="8" ht="26" customHeight="1" spans="1:3">
      <c r="A8" s="7">
        <v>6</v>
      </c>
      <c r="B8" s="7" t="s">
        <v>88</v>
      </c>
      <c r="C8" s="7" t="s">
        <v>89</v>
      </c>
    </row>
    <row r="9" ht="26" customHeight="1" spans="1:3">
      <c r="A9" s="6">
        <v>7</v>
      </c>
      <c r="B9" s="6" t="s">
        <v>90</v>
      </c>
      <c r="C9" s="6">
        <v>95590</v>
      </c>
    </row>
    <row r="10" ht="26" customHeight="1" spans="1:3">
      <c r="A10" s="7">
        <v>8</v>
      </c>
      <c r="B10" s="7" t="s">
        <v>91</v>
      </c>
      <c r="C10" s="7" t="s">
        <v>92</v>
      </c>
    </row>
    <row r="11" ht="26" customHeight="1" spans="1:3">
      <c r="A11" s="6">
        <v>9</v>
      </c>
      <c r="B11" s="6" t="s">
        <v>93</v>
      </c>
      <c r="C11" s="6" t="s">
        <v>94</v>
      </c>
    </row>
    <row r="12" ht="26" customHeight="1" spans="1:3">
      <c r="A12" s="7">
        <v>10</v>
      </c>
      <c r="B12" s="7" t="s">
        <v>95</v>
      </c>
      <c r="C12" s="7" t="s">
        <v>96</v>
      </c>
    </row>
    <row r="13" ht="26" customHeight="1" spans="1:3">
      <c r="A13" s="6">
        <v>11</v>
      </c>
      <c r="B13" s="6" t="s">
        <v>40</v>
      </c>
      <c r="C13" s="6">
        <v>95348</v>
      </c>
    </row>
    <row r="14" ht="26" customHeight="1" spans="1:3">
      <c r="A14" s="7">
        <v>12</v>
      </c>
      <c r="B14" s="7" t="s">
        <v>97</v>
      </c>
      <c r="C14" s="7" t="s">
        <v>98</v>
      </c>
    </row>
    <row r="15" ht="26" customHeight="1" spans="1:3">
      <c r="A15" s="6">
        <v>13</v>
      </c>
      <c r="B15" s="6" t="s">
        <v>99</v>
      </c>
      <c r="C15" s="6">
        <v>95549</v>
      </c>
    </row>
    <row r="16" ht="26" customHeight="1" spans="1:3">
      <c r="A16" s="7">
        <v>14</v>
      </c>
      <c r="B16" s="7" t="s">
        <v>100</v>
      </c>
      <c r="C16" s="7" t="s">
        <v>101</v>
      </c>
    </row>
    <row r="17" ht="26" customHeight="1" spans="1:3">
      <c r="A17" s="6">
        <v>15</v>
      </c>
      <c r="B17" s="6" t="s">
        <v>102</v>
      </c>
      <c r="C17" s="6" t="s">
        <v>103</v>
      </c>
    </row>
    <row r="18" ht="26" customHeight="1" spans="1:3">
      <c r="A18" s="7">
        <v>16</v>
      </c>
      <c r="B18" s="7" t="s">
        <v>104</v>
      </c>
      <c r="C18" s="7" t="s">
        <v>105</v>
      </c>
    </row>
    <row r="19" ht="26" customHeight="1" spans="1:3">
      <c r="A19" s="6">
        <v>17</v>
      </c>
      <c r="B19" s="6" t="s">
        <v>106</v>
      </c>
      <c r="C19" s="6" t="s">
        <v>107</v>
      </c>
    </row>
    <row r="20" ht="26" customHeight="1" spans="1:3">
      <c r="A20" s="7">
        <v>18</v>
      </c>
      <c r="B20" s="7" t="s">
        <v>108</v>
      </c>
      <c r="C20" s="7" t="s">
        <v>109</v>
      </c>
    </row>
    <row r="21" ht="26" customHeight="1" spans="1:3">
      <c r="A21" s="6">
        <v>19</v>
      </c>
      <c r="B21" s="6" t="s">
        <v>110</v>
      </c>
      <c r="C21" s="6" t="s">
        <v>111</v>
      </c>
    </row>
    <row r="22" ht="26" customHeight="1" spans="1:3">
      <c r="A22" s="7">
        <v>20</v>
      </c>
      <c r="B22" s="7" t="s">
        <v>112</v>
      </c>
      <c r="C22" s="7" t="s">
        <v>113</v>
      </c>
    </row>
    <row r="23" ht="26" customHeight="1" spans="1:3">
      <c r="A23" s="6">
        <v>21</v>
      </c>
      <c r="B23" s="6" t="s">
        <v>114</v>
      </c>
      <c r="C23" s="6" t="s">
        <v>115</v>
      </c>
    </row>
    <row r="24" ht="26" customHeight="1" spans="1:3">
      <c r="A24" s="7">
        <v>22</v>
      </c>
      <c r="B24" s="7" t="s">
        <v>116</v>
      </c>
      <c r="C24" s="7" t="s">
        <v>117</v>
      </c>
    </row>
    <row r="25" ht="26" customHeight="1" spans="1:3">
      <c r="A25" s="6">
        <v>23</v>
      </c>
      <c r="B25" s="6" t="s">
        <v>118</v>
      </c>
      <c r="C25" s="6">
        <v>95511</v>
      </c>
    </row>
    <row r="26" ht="26" customHeight="1" spans="1:3">
      <c r="A26" s="7">
        <v>24</v>
      </c>
      <c r="B26" s="7" t="s">
        <v>119</v>
      </c>
      <c r="C26" s="7" t="s">
        <v>120</v>
      </c>
    </row>
    <row r="27" ht="26" customHeight="1" spans="1:3">
      <c r="A27" s="6">
        <v>25</v>
      </c>
      <c r="B27" s="6" t="s">
        <v>121</v>
      </c>
      <c r="C27" s="6" t="s">
        <v>122</v>
      </c>
    </row>
    <row r="28" ht="26" customHeight="1" spans="1:3">
      <c r="A28" s="7">
        <v>26</v>
      </c>
      <c r="B28" s="7" t="s">
        <v>123</v>
      </c>
      <c r="C28" s="7" t="s">
        <v>124</v>
      </c>
    </row>
    <row r="29" ht="26" customHeight="1" spans="1:3">
      <c r="A29" s="6">
        <v>27</v>
      </c>
      <c r="B29" s="6" t="s">
        <v>125</v>
      </c>
      <c r="C29" s="6">
        <v>4009118118</v>
      </c>
    </row>
    <row r="30" ht="26" customHeight="1" spans="1:3">
      <c r="A30" s="7">
        <v>28</v>
      </c>
      <c r="B30" s="7" t="s">
        <v>126</v>
      </c>
      <c r="C30" s="7" t="s">
        <v>127</v>
      </c>
    </row>
    <row r="31" ht="26" customHeight="1" spans="1:3">
      <c r="A31" s="6">
        <v>29</v>
      </c>
      <c r="B31" s="6" t="s">
        <v>128</v>
      </c>
      <c r="C31" s="6">
        <v>95589</v>
      </c>
    </row>
    <row r="32" ht="26" customHeight="1" spans="1:3">
      <c r="A32" s="7">
        <v>30</v>
      </c>
      <c r="B32" s="7" t="s">
        <v>129</v>
      </c>
      <c r="C32" s="7">
        <v>95500</v>
      </c>
    </row>
    <row r="33" ht="26" customHeight="1" spans="1:3">
      <c r="A33" s="6">
        <v>31</v>
      </c>
      <c r="B33" s="6" t="s">
        <v>130</v>
      </c>
      <c r="C33" s="6">
        <v>95522</v>
      </c>
    </row>
    <row r="34" ht="26" customHeight="1" spans="1:3">
      <c r="A34" s="7">
        <v>32</v>
      </c>
      <c r="B34" s="7" t="s">
        <v>131</v>
      </c>
      <c r="C34" s="7">
        <v>95505</v>
      </c>
    </row>
    <row r="35" ht="26" customHeight="1" spans="1:3">
      <c r="A35" s="6">
        <v>33</v>
      </c>
      <c r="B35" s="6" t="s">
        <v>132</v>
      </c>
      <c r="C35" s="6" t="s">
        <v>133</v>
      </c>
    </row>
    <row r="36" ht="26" customHeight="1" spans="1:3">
      <c r="A36" s="7">
        <v>34</v>
      </c>
      <c r="B36" s="7" t="s">
        <v>134</v>
      </c>
      <c r="C36" s="7">
        <v>95365</v>
      </c>
    </row>
    <row r="37" ht="26" customHeight="1" spans="1:3">
      <c r="A37" s="6">
        <v>35</v>
      </c>
      <c r="B37" s="6" t="s">
        <v>135</v>
      </c>
      <c r="C37" s="6">
        <v>95506</v>
      </c>
    </row>
    <row r="38" ht="26" customHeight="1" spans="1:3">
      <c r="A38" s="7">
        <v>36</v>
      </c>
      <c r="B38" s="7" t="s">
        <v>136</v>
      </c>
      <c r="C38" s="7">
        <v>95510</v>
      </c>
    </row>
    <row r="39" ht="26" customHeight="1" spans="1:3">
      <c r="A39" s="6">
        <v>37</v>
      </c>
      <c r="B39" s="6" t="s">
        <v>137</v>
      </c>
      <c r="C39" s="6" t="s">
        <v>138</v>
      </c>
    </row>
    <row r="40" ht="26" customHeight="1" spans="1:3">
      <c r="A40" s="7">
        <v>38</v>
      </c>
      <c r="B40" s="7" t="s">
        <v>139</v>
      </c>
      <c r="C40" s="7" t="s">
        <v>140</v>
      </c>
    </row>
    <row r="41" ht="26" customHeight="1" spans="1:3">
      <c r="A41" s="6">
        <v>39</v>
      </c>
      <c r="B41" s="6" t="s">
        <v>141</v>
      </c>
      <c r="C41" s="6" t="s">
        <v>142</v>
      </c>
    </row>
    <row r="42" ht="26" customHeight="1" spans="1:3">
      <c r="A42" s="7">
        <v>40</v>
      </c>
      <c r="B42" s="7" t="s">
        <v>143</v>
      </c>
      <c r="C42" s="7">
        <v>95518</v>
      </c>
    </row>
    <row r="43" ht="26" customHeight="1" spans="1:3">
      <c r="A43" s="6">
        <v>41</v>
      </c>
      <c r="B43" s="6" t="s">
        <v>144</v>
      </c>
      <c r="C43" s="6">
        <v>95591</v>
      </c>
    </row>
    <row r="44" ht="26" customHeight="1" spans="1:3">
      <c r="A44" s="7">
        <v>42</v>
      </c>
      <c r="B44" s="7" t="s">
        <v>145</v>
      </c>
      <c r="C44" s="7" t="s">
        <v>146</v>
      </c>
    </row>
    <row r="45" ht="26" customHeight="1" spans="1:3">
      <c r="A45" s="6">
        <v>43</v>
      </c>
      <c r="B45" s="6" t="s">
        <v>147</v>
      </c>
      <c r="C45" s="6">
        <v>95519</v>
      </c>
    </row>
    <row r="46" ht="26" customHeight="1" spans="1:3">
      <c r="A46" s="7">
        <v>44</v>
      </c>
      <c r="B46" s="7" t="s">
        <v>148</v>
      </c>
      <c r="C46" s="7" t="s">
        <v>149</v>
      </c>
    </row>
    <row r="47" ht="26" customHeight="1" spans="1:3">
      <c r="A47" s="6">
        <v>45</v>
      </c>
      <c r="B47" s="6" t="s">
        <v>150</v>
      </c>
      <c r="C47" s="6">
        <v>95585</v>
      </c>
    </row>
    <row r="48" ht="26" customHeight="1" spans="1:3">
      <c r="A48" s="7">
        <v>46</v>
      </c>
      <c r="B48" s="7" t="s">
        <v>151</v>
      </c>
      <c r="C48" s="7">
        <v>95558</v>
      </c>
    </row>
    <row r="49" ht="26" customHeight="1" spans="1:3">
      <c r="A49" s="6">
        <v>47</v>
      </c>
      <c r="B49" s="6" t="s">
        <v>152</v>
      </c>
      <c r="C49" s="6" t="s">
        <v>153</v>
      </c>
    </row>
  </sheetData>
  <sortState ref="A3:C49">
    <sortCondition ref="B3"/>
  </sortState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投保清单（请在此清单中填写）</vt:lpstr>
      <vt:lpstr>汇总表格（无需手动填写）</vt:lpstr>
      <vt:lpstr>附表-常见保险公司客服热线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Administrator</cp:lastModifiedBy>
  <dcterms:created xsi:type="dcterms:W3CDTF">2018-06-06T06:58:00Z</dcterms:created>
  <dcterms:modified xsi:type="dcterms:W3CDTF">2021-11-09T14:50:01Z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E02408E4DAB248F1B8E7C9EABB33CD40</vt:lpwstr>
  </property>
</Properties>
</file>